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Позиции!$A$4:$P$17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<sst xmlns="http://schemas.openxmlformats.org/spreadsheetml/2006/main" count="423" uniqueCount="245">
  <si>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</si>
  <si>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</si>
  <si>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</si>
  <si>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</si>
  <si>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</si>
  <si>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</si>
  <si>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</si>
  <si>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</si>
  <si>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</si>
  <si>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</si>
  <si>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</si>
  <si>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</si>
  <si>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</si>
  <si>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</si>
  <si>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</si>
  <si>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</si>
  <si>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</si>
  <si>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</si>
  <si>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</si>
  <si>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</si>
  <si>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</si>
  <si>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</si>
  <si>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</si>
  <si>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</si>
  <si>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</si>
  <si>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</si>
  <si>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</si>
  <si>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</si>
  <si>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</si>
  <si>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</si>
  <si>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</si>
  <si>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</si>
  <si>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</si>
  <si>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</si>
  <si>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</si>
  <si>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</si>
  <si>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</si>
  <si>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</si>
  <si>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</si>
  <si>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</si>
  <si>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</si>
  <si>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</si>
  <si>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</si>
  <si>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</si>
  <si>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</si>
  <si>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</si>
  <si>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</si>
  <si>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</si>
  <si>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</si>
  <si>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</si>
  <si>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</si>
  <si>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</si>
  <si>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</si>
  <si>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</si>
  <si>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</si>
  <si>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</si>
  <si>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</si>
  <si>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</si>
  <si>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</si>
  <si>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</si>
  <si>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</si>
  <si>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</si>
  <si>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</si>
  <si>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</si>
  <si>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</si>
  <si>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</si>
  <si>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</si>
  <si>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</si>
  <si>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</si>
  <si>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</si>
  <si>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</si>
  <si>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</si>
  <si>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</si>
  <si>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</si>
  <si>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</si>
  <si>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</si>
  <si>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</si>
  <si>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</si>
  <si>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</si>
  <si>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</si>
  <si>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</si>
  <si>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</si>
  <si>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</si>
  <si>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</si>
  <si>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</si>
  <si>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</si>
  <si>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</si>
  <si>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</si>
  <si>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</si>
  <si>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</si>
  <si>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</si>
  <si>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</si>
  <si>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</si>
  <si>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</si>
  <si>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</si>
  <si>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</si>
  <si>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</si>
  <si>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</si>
  <si>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</si>
  <si>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</si>
  <si>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</si>
  <si>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</si>
  <si>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GOOGL</t>
  </si>
  <si>
    <t>Alphabet Inc. (Class A)</t>
  </si>
  <si>
    <t>CRM</t>
  </si>
  <si>
    <t>Salesforce</t>
  </si>
  <si>
    <t>HPE</t>
  </si>
  <si>
    <t>Hewlett Packard Enterprise</t>
  </si>
  <si>
    <t>TGT</t>
  </si>
  <si>
    <t>Target Corporation</t>
  </si>
  <si>
    <t>Consumer Staples</t>
  </si>
  <si>
    <t>ALL</t>
  </si>
  <si>
    <t>Allstate</t>
  </si>
  <si>
    <t>AMZN</t>
  </si>
  <si>
    <t>Amazon</t>
  </si>
  <si>
    <t>Consumer Discretionary</t>
  </si>
  <si>
    <t>NTAP</t>
  </si>
  <si>
    <t>NetApp</t>
  </si>
  <si>
    <t>INCY</t>
  </si>
  <si>
    <t>Incyte</t>
  </si>
  <si>
    <t>HPQ</t>
  </si>
  <si>
    <t>HP Inc.</t>
  </si>
  <si>
    <t>DLTR</t>
  </si>
  <si>
    <t>Dollar Tree</t>
  </si>
  <si>
    <t>GS</t>
  </si>
  <si>
    <t>Goldman Sachs</t>
  </si>
  <si>
    <t>SMCI</t>
  </si>
  <si>
    <t>Supermicro</t>
  </si>
  <si>
    <t>COF</t>
  </si>
  <si>
    <t>Capital One</t>
  </si>
  <si>
    <t>ZBRA</t>
  </si>
  <si>
    <t>Zebra Technologies</t>
  </si>
  <si>
    <t>INTC</t>
  </si>
  <si>
    <t>Intel</t>
  </si>
  <si>
    <t>FTNT</t>
  </si>
  <si>
    <t>Fortinet</t>
  </si>
  <si>
    <t>BIIB</t>
  </si>
  <si>
    <t>Biogen</t>
  </si>
  <si>
    <t>CVX</t>
  </si>
  <si>
    <t>Chevron Corporation</t>
  </si>
  <si>
    <t>GEN</t>
  </si>
  <si>
    <t>Gen Digital</t>
  </si>
  <si>
    <t>BMY</t>
  </si>
  <si>
    <t>Bristol Myers Squibb</t>
  </si>
  <si>
    <t>EOG</t>
  </si>
  <si>
    <t>EOG Resources</t>
  </si>
  <si>
    <t>MS</t>
  </si>
  <si>
    <t>Morgan Stanley</t>
  </si>
  <si>
    <t>FANG</t>
  </si>
  <si>
    <t>Diamondback Energy</t>
  </si>
  <si>
    <t>NWSA</t>
  </si>
  <si>
    <t>News Corp (Class A)</t>
  </si>
  <si>
    <t>COP</t>
  </si>
  <si>
    <t>ConocoPhillips</t>
  </si>
  <si>
    <t>REGN</t>
  </si>
  <si>
    <t>Regeneron Pharmaceuticals</t>
  </si>
  <si>
    <t>BBY</t>
  </si>
  <si>
    <t>Best Buy</t>
  </si>
  <si>
    <t>PRU</t>
  </si>
  <si>
    <t>Prudential Financial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</si>
  <si>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</si>
  <si>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</si>
  <si>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</si>
  <si>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</si>
  <si>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</si>
  <si>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</si>
  <si>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</si>
  <si>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</si>
  <si>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</si>
  <si>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</si>
  <si>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</si>
  <si>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</si>
  <si>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</si>
  <si>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</si>
  <si>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</si>
  <si>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</si>
  <si>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</si>
  <si>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</si>
  <si>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</si>
  <si>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</si>
  <si>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</si>
  <si>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</si>
  <si>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</si>
  <si>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</si>
  <si>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</si>
  <si>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</si>
  <si>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2026-09-16 00:26 UTC · данные на 2026-09-14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</si>
  <si>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</si>
  <si>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</si>
  <si>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</si>
  <si>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</si>
  <si>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</si>
  <si>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</si>
  <si>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</si>
  <si>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</si>
  <si>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</si>
  <si>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</si>
  <si>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</si>
  <si>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</si>
  <si>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</si>
  <si>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</si>
  <si>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</si>
  <si>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</si>
  <si>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</si>
  <si>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</si>
  <si>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</si>
  <si>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</si>
  <si>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</si>
  <si>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</si>
  <si>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</si>
  <si>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</si>
  <si>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</si>
  <si>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</si>
  <si>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2026-09-16 00:26 UTC</t>
  </si>
  <si>
    <t>Дата данных</t>
  </si>
  <si>
    <t>Тикеров во вселенной</t>
  </si>
  <si>
    <t>503</t>
  </si>
  <si>
    <t>Прошли фильтры</t>
  </si>
  <si>
    <t>416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</si>
  <si>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</si>
  <si>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</si>
  <si>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</si>
  <si>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</si>
  <si>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</si>
  <si>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</si>
  <si>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</si>
  <si>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</si>
  <si>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</si>
  <si>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2026-09-13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</si>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</sst>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Сводка!$B$33:$B$37</c:f>
              <c:strCache>
                <c:ptCount val="5"/>
                <c:pt idx="0">
                  <c:v>Energy</c:v>
                </c:pt>
                <c:pt idx="1">
                  <c:v>Information Technology</c:v>
                </c:pt>
                <c:pt idx="2">
                  <c:v>Health Care</c:v>
                </c:pt>
                <c:pt idx="3">
                  <c:v>Communication Services</c:v>
                </c:pt>
                <c:pt idx="4">
                  <c:v>Financials</c:v>
                </c:pt>
              </c:strCache>
            </c:strRef>
          </c:cat>
          <c:val>
            <c:numRef>
              <c:f>Сводка!$C$33:$C$37</c:f>
              <c:numCache>
                <c:formatCode>General</c:formatCode>
                <c:ptCount val="5"/>
                <c:pt idx="0">
                  <c:v>2464.36</c:v>
                </c:pt>
                <c:pt idx="1">
                  <c:v>2453.6</c:v>
                </c:pt>
                <c:pt idx="2">
                  <c:v>501.41</c:v>
                </c:pt>
                <c:pt idx="3">
                  <c:v>495.7</c:v>
                </c:pt>
                <c:pt idx="4">
                  <c:v>479.95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Капитал!$A$5:$A$18</c:f>
              <c:strCache>
                <c:ptCount val="1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</c:strCache>
            </c:strRef>
          </c:cat>
          <c:val>
            <c:numRef>
              <c:f>Капитал!$D$5:$D$18</c:f>
              <c:numCache>
                <c:formatCode>General</c:formatCode>
                <c:ptCount val="14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Капитал!$A$5:$A$18</c:f>
              <c:strCache>
                <c:ptCount val="1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</c:strCache>
            </c:strRef>
          </c:cat>
          <c:val>
            <c:numRef>
              <c:f>Капитал!$F$5:$F$18</c:f>
              <c:numCache>
                <c:formatCode>General</c:formatCode>
                <c:ptCount val="14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Капитал!$A$5:$A$18</c:f>
              <c:strCache>
                <c:ptCount val="1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</c:strCache>
            </c:strRef>
          </c:cat>
          <c:val>
            <c:numRef>
              <c:f>Капитал!$D$5:$D$18</c:f>
              <c:numCache>
                <c:formatCode>General</c:formatCode>
                <c:ptCount val="14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Капитал!$A$5:$A$18</c:f>
              <c:strCache>
                <c:ptCount val="1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</c:strCache>
            </c:strRef>
          </c:cat>
          <c:val>
            <c:numRef>
              <c:f>Капитал!$F$5:$F$18</c:f>
              <c:numCache>
                <c:formatCode>General</c:formatCode>
                <c:ptCount val="14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7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185</v>
      </c>
    </row>
    <row r="3" spans="2:8">
      <c r="B3" s="2" t="s">
        <v>186</v>
      </c>
    </row>
    <row r="5" spans="2:8">
      <c r="B5" s="3" t="s">
        <v>74</v>
      </c>
      <c r="D5" s="3" t="s">
        <v>187</v>
      </c>
      <c r="F5" s="3" t="s">
        <v>188</v>
      </c>
      <c r="H5" s="3" t="s">
        <v>189</v>
      </c>
    </row>
    <row r="6" spans="2:8">
      <c r="B6" s="4">
        <v>10163.98</v>
      </c>
      <c r="D6" s="5">
        <v>0.01639799999999969</v>
      </c>
      <c r="F6" s="6">
        <v>-0.003392000000000062</v>
      </c>
      <c r="H6" s="6">
        <v>-0.005570108480505209</v>
      </c>
    </row>
    <row r="8" spans="2:8">
      <c r="B8" s="3" t="s">
        <v>190</v>
      </c>
      <c r="D8" s="3" t="s">
        <v>191</v>
      </c>
      <c r="F8" s="3" t="s">
        <v>192</v>
      </c>
      <c r="H8" s="3" t="s">
        <v>194</v>
      </c>
    </row>
    <row r="9" spans="2:8">
      <c r="B9" s="7">
        <v>2.881440547102145</v>
      </c>
      <c r="D9" s="7">
        <v>0</v>
      </c>
      <c r="F9" s="7" t="s">
        <v>193</v>
      </c>
      <c r="H9" s="7">
        <v>13</v>
      </c>
    </row>
    <row r="12" spans="2:8">
      <c r="B12" s="8" t="s">
        <v>195</v>
      </c>
    </row>
    <row r="13" spans="2:8">
      <c r="B13" s="9" t="s">
        <v>72</v>
      </c>
      <c r="C13" s="10">
        <v>3768.959999999999</v>
      </c>
    </row>
    <row r="14" spans="2:8">
      <c r="B14" s="9" t="s">
        <v>73</v>
      </c>
      <c r="C14" s="10">
        <v>6395.02</v>
      </c>
    </row>
    <row r="15" spans="2:8">
      <c r="B15" s="9" t="s">
        <v>74</v>
      </c>
      <c r="C15" s="10">
        <v>10163.98</v>
      </c>
    </row>
    <row r="16" spans="2:8">
      <c r="B16" s="9" t="s">
        <v>196</v>
      </c>
      <c r="C16" s="10">
        <v>10000</v>
      </c>
    </row>
    <row r="17" spans="1:3">
      <c r="B17" s="9" t="s">
        <v>197</v>
      </c>
      <c r="C17" s="11">
        <v>21</v>
      </c>
    </row>
    <row r="18" spans="1:3">
      <c r="B18" s="9" t="s">
        <v>198</v>
      </c>
      <c r="C18" s="11">
        <v>7</v>
      </c>
    </row>
    <row r="19" spans="1:3">
      <c r="B19" s="9" t="s">
        <v>199</v>
      </c>
      <c r="C19" s="11">
        <v>1</v>
      </c>
    </row>
    <row r="20" spans="1:3">
      <c r="B20" s="9" t="s">
        <v>200</v>
      </c>
      <c r="C20" s="11">
        <v>21</v>
      </c>
    </row>
    <row r="21" spans="1:3">
      <c r="B21" s="9" t="s">
        <v>201</v>
      </c>
      <c r="C21" s="9" t="s">
        <v>193</v>
      </c>
    </row>
    <row r="22" spans="1:3">
      <c r="B22" s="9" t="s">
        <v>202</v>
      </c>
      <c r="C22" s="9" t="s">
        <v>193</v>
      </c>
    </row>
    <row r="23" spans="1:3">
      <c r="B23" s="9" t="s">
        <v>203</v>
      </c>
      <c r="C23" s="9" t="s">
        <v>193</v>
      </c>
    </row>
    <row r="24" spans="1:3">
      <c r="B24" s="9" t="s">
        <v>204</v>
      </c>
      <c r="C24" s="9" t="s">
        <v>193</v>
      </c>
    </row>
    <row r="25" spans="1:3">
      <c r="B25" s="9" t="s">
        <v>205</v>
      </c>
      <c r="C25" s="12">
        <v>0.1116230737431509</v>
      </c>
    </row>
    <row r="26" spans="1:3">
      <c r="B26" s="9" t="s">
        <v>206</v>
      </c>
      <c r="C26" s="11">
        <v>14</v>
      </c>
    </row>
    <row r="28" spans="1:3">
      <c r="B28" s="13" t="s">
        <v>207</v>
      </c>
      <c r="C28" s="10">
        <f>C13+IFERROR(SUM('Позиции'!I5:I200),0)</f>
        <v>10163.979999999998</v>
      </c>
    </row>
    <row r="29" spans="1:3">
      <c r="B29" s="14" t="s">
        <v>208</v>
      </c>
    </row>
    <row r="31" spans="1:3">
      <c r="B31" s="8" t="s">
        <v>209</v>
      </c>
    </row>
    <row r="32" spans="1:3" ht="30" customHeight="1">
      <c r="A32" s="15" t="s">
        <v>17</v>
      </c>
      <c r="B32" s="15" t="s">
        <v>23</v>
      </c>
    </row>
    <row r="33" spans="2:3">
      <c r="B33" s="9" t="s">
        <v>42</v>
      </c>
      <c r="C33" s="10">
        <v>2464.36</v>
      </c>
    </row>
    <row r="34" spans="2:3">
      <c r="B34" s="9" t="s">
        <v>32</v>
      </c>
      <c r="C34" s="10">
        <v>2453.6</v>
      </c>
    </row>
    <row r="35" spans="2:3">
      <c r="B35" s="9" t="s">
        <v>57</v>
      </c>
      <c r="C35" s="10">
        <v>501.41</v>
      </c>
    </row>
    <row r="36" spans="2:3">
      <c r="B36" s="9" t="s">
        <v>55</v>
      </c>
      <c r="C36" s="10">
        <v>495.7</v>
      </c>
    </row>
    <row r="37" spans="2:3">
      <c r="B37" s="9" t="s">
        <v>53</v>
      </c>
      <c r="C37" s="10">
        <v>479.95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13</v>
      </c>
    </row>
    <row r="2" spans="1:16" x14ac:dyDescent="0.25">
      <c r="A2" s="2" t="s">
        <v>14</v>
      </c>
    </row>
    <row r="4" spans="1:16" ht="30" customHeight="1" x14ac:dyDescent="0.25">
      <c r="A4" s="15" t="s">
        <v>15</v>
      </c>
      <c r="B4" s="15" t="s">
        <v>16</v>
      </c>
      <c r="C4" s="15" t="s">
        <v>17</v>
      </c>
      <c r="D4" s="15" t="s">
        <v>18</v>
      </c>
      <c r="E4" s="15" t="s">
        <v>19</v>
      </c>
      <c r="F4" s="15" t="s">
        <v>20</v>
      </c>
      <c r="G4" s="15" t="s">
        <v>21</v>
      </c>
      <c r="H4" s="15" t="s">
        <v>22</v>
      </c>
      <c r="I4" s="15" t="s">
        <v>23</v>
      </c>
      <c r="J4" s="15" t="s">
        <v>24</v>
      </c>
      <c r="K4" s="15" t="s">
        <v>25</v>
      </c>
      <c r="L4" s="15" t="s">
        <v>26</v>
      </c>
      <c r="M4" s="15" t="s">
        <v>27</v>
      </c>
      <c r="N4" s="15" t="s">
        <v>28</v>
      </c>
      <c r="O4" s="15" t="s">
        <v>29</v>
      </c>
      <c r="P4" s="15" t="s">
        <v>30</v>
      </c>
    </row>
    <row r="5" spans="1:16" x14ac:dyDescent="0.25">
      <c r="A5" s="9" t="s">
        <v>0</v>
      </c>
      <c r="B5" s="9" t="s">
        <v>31</v>
      </c>
      <c r="C5" s="9" t="s">
        <v>32</v>
      </c>
      <c r="D5" s="16" t="s">
        <v>33</v>
      </c>
      <c r="E5" s="10">
        <v>443.1115</v>
      </c>
      <c r="F5" s="17">
        <v>1.074651</v>
      </c>
      <c r="G5" s="10">
        <v>476.19</v>
      </c>
      <c r="H5" s="18">
        <v>534.28</v>
      </c>
      <c r="I5" s="10">
        <f>F5*H5</f>
        <v>574.16453628</v>
      </c>
      <c r="J5" s="10">
        <f>I5-G5</f>
        <v>97.97453628</v>
      </c>
      <c r="K5" s="19">
        <f>IFERROR(J5/G5,0)</f>
        <v>0.20574673193473192</v>
      </c>
      <c r="L5" s="11">
        <v>12</v>
      </c>
      <c r="M5" s="11">
        <f>MAX(0,21-L5)</f>
        <v>9</v>
      </c>
      <c r="N5" s="20">
        <v>2.927623067210654</v>
      </c>
      <c r="O5" s="9" t="s">
        <v>34</v>
      </c>
    </row>
    <row r="6" spans="1:16" x14ac:dyDescent="0.25">
      <c r="A6" s="9" t="s">
        <v>1</v>
      </c>
      <c r="B6" s="9" t="s">
        <v>35</v>
      </c>
      <c r="C6" s="9" t="s">
        <v>32</v>
      </c>
      <c r="D6" s="16" t="s">
        <v>36</v>
      </c>
      <c r="E6" s="10">
        <v>926.2029</v>
      </c>
      <c r="F6" s="17">
        <v>0.5145960000000001</v>
      </c>
      <c r="G6" s="10">
        <v>476.62</v>
      </c>
      <c r="H6" s="18">
        <v>924.03</v>
      </c>
      <c r="I6" s="10">
        <f>F6*H6</f>
        <v>475.50214188</v>
      </c>
      <c r="J6" s="10">
        <f>I6-G6</f>
        <v>-1.117858119999994</v>
      </c>
      <c r="K6" s="19">
        <f>IFERROR(J6/G6,0)</f>
        <v>-0.0023453865133649322</v>
      </c>
      <c r="L6" s="11">
        <v>11</v>
      </c>
      <c r="M6" s="11">
        <f>MAX(0,21-L6)</f>
        <v>10</v>
      </c>
      <c r="N6" s="20">
        <v>1.809956883354321</v>
      </c>
      <c r="O6" s="9" t="s">
        <v>34</v>
      </c>
    </row>
    <row r="7" spans="1:16" x14ac:dyDescent="0.25">
      <c r="A7" s="9" t="s">
        <v>2</v>
      </c>
      <c r="B7" s="9" t="s">
        <v>37</v>
      </c>
      <c r="C7" s="9" t="s">
        <v>32</v>
      </c>
      <c r="D7" s="16" t="s">
        <v>38</v>
      </c>
      <c r="E7" s="10">
        <v>1550.1948</v>
      </c>
      <c r="F7" s="17">
        <v>0.308058</v>
      </c>
      <c r="G7" s="10">
        <v>477.55</v>
      </c>
      <c r="H7" s="18">
        <v>1551.99</v>
      </c>
      <c r="I7" s="10">
        <f>F7*H7</f>
        <v>478.10293542</v>
      </c>
      <c r="J7" s="10">
        <f>I7-G7</f>
        <v>0.552935419999983</v>
      </c>
      <c r="K7" s="19">
        <f>IFERROR(J7/G7,0)</f>
        <v>0.001157858695424527</v>
      </c>
      <c r="L7" s="11">
        <v>10</v>
      </c>
      <c r="M7" s="11">
        <f>MAX(0,21-L7)</f>
        <v>11</v>
      </c>
      <c r="N7" s="20">
        <v>1.655247920227722</v>
      </c>
      <c r="O7" s="9" t="s">
        <v>34</v>
      </c>
    </row>
    <row r="8" spans="1:16" x14ac:dyDescent="0.25">
      <c r="A8" s="9" t="s">
        <v>3</v>
      </c>
      <c r="B8" s="9" t="s">
        <v>39</v>
      </c>
      <c r="C8" s="9" t="s">
        <v>32</v>
      </c>
      <c r="D8" s="16" t="s">
        <v>40</v>
      </c>
      <c r="E8" s="10">
        <v>462.5311</v>
      </c>
      <c r="F8" s="17">
        <v>1.031174</v>
      </c>
      <c r="G8" s="10">
        <v>476.95</v>
      </c>
      <c r="H8" s="18">
        <v>426.94</v>
      </c>
      <c r="I8" s="10">
        <f>F8*H8</f>
        <v>440.24942756</v>
      </c>
      <c r="J8" s="10">
        <f>I8-G8</f>
        <v>-36.70057243999997</v>
      </c>
      <c r="K8" s="19">
        <f>IFERROR(J8/G8,0)</f>
        <v>-0.07694846931544182</v>
      </c>
      <c r="L8" s="11">
        <v>9</v>
      </c>
      <c r="M8" s="11">
        <f>MAX(0,21-L8)</f>
        <v>12</v>
      </c>
      <c r="N8" s="20">
        <v>1.135451734784544</v>
      </c>
      <c r="O8" s="9" t="s">
        <v>34</v>
      </c>
    </row>
    <row r="9" spans="1:16" x14ac:dyDescent="0.25">
      <c r="A9" s="9" t="s">
        <v>4</v>
      </c>
      <c r="B9" s="9" t="s">
        <v>41</v>
      </c>
      <c r="C9" s="9" t="s">
        <v>42</v>
      </c>
      <c r="D9" s="16" t="s">
        <v>43</v>
      </c>
      <c r="E9" s="10">
        <v>360.14</v>
      </c>
      <c r="F9" s="17">
        <v>1.321486</v>
      </c>
      <c r="G9" s="10">
        <v>475.92</v>
      </c>
      <c r="H9" s="18">
        <v>382.95</v>
      </c>
      <c r="I9" s="10">
        <f>F9*H9</f>
        <v>506.0630637</v>
      </c>
      <c r="J9" s="10">
        <f>I9-G9</f>
        <v>30.14306369999997</v>
      </c>
      <c r="K9" s="19">
        <f>IFERROR(J9/G9,0)</f>
        <v>0.06333640885022687</v>
      </c>
      <c r="L9" s="11">
        <v>8</v>
      </c>
      <c r="M9" s="11">
        <f>MAX(0,21-L9)</f>
        <v>13</v>
      </c>
      <c r="N9" s="20">
        <v>1.098454348098604</v>
      </c>
      <c r="O9" s="9" t="s">
        <v>34</v>
      </c>
    </row>
    <row r="10" spans="1:16" x14ac:dyDescent="0.25">
      <c r="A10" s="9" t="s">
        <v>5</v>
      </c>
      <c r="B10" s="9" t="s">
        <v>44</v>
      </c>
      <c r="C10" s="9" t="s">
        <v>42</v>
      </c>
      <c r="D10" s="16" t="s">
        <v>45</v>
      </c>
      <c r="E10" s="10">
        <v>380.9704</v>
      </c>
      <c r="F10" s="17">
        <v>1.252643</v>
      </c>
      <c r="G10" s="10">
        <v>477.22</v>
      </c>
      <c r="H10" s="18">
        <v>396.45</v>
      </c>
      <c r="I10" s="10">
        <f>F10*H10</f>
        <v>496.61031734999995</v>
      </c>
      <c r="J10" s="10">
        <f>I10-G10</f>
        <v>19.39031734999992</v>
      </c>
      <c r="K10" s="19">
        <f>IFERROR(J10/G10,0)</f>
        <v>0.04063182043921025</v>
      </c>
      <c r="L10" s="11">
        <v>7</v>
      </c>
      <c r="M10" s="11">
        <f>MAX(0,21-L10)</f>
        <v>14</v>
      </c>
      <c r="N10" s="20">
        <v>0.9280120270881818</v>
      </c>
      <c r="O10" s="9" t="s">
        <v>34</v>
      </c>
    </row>
    <row r="11" spans="1:16" x14ac:dyDescent="0.25">
      <c r="A11" s="9" t="s">
        <v>6</v>
      </c>
      <c r="B11" s="9" t="s">
        <v>46</v>
      </c>
      <c r="C11" s="9" t="s">
        <v>42</v>
      </c>
      <c r="D11" s="16" t="s">
        <v>47</v>
      </c>
      <c r="E11" s="10">
        <v>60.1501</v>
      </c>
      <c r="F11" s="17">
        <v>7.895088</v>
      </c>
      <c r="G11" s="10">
        <v>474.89</v>
      </c>
      <c r="H11" s="18">
        <v>61.78</v>
      </c>
      <c r="I11" s="10">
        <f>F11*H11</f>
        <v>487.75853664000005</v>
      </c>
      <c r="J11" s="10">
        <f>I11-G11</f>
        <v>12.868536640000059</v>
      </c>
      <c r="K11" s="19">
        <f>IFERROR(J11/G11,0)</f>
        <v>0.027097931394638883</v>
      </c>
      <c r="L11" s="11">
        <v>4</v>
      </c>
      <c r="M11" s="11">
        <f>MAX(0,21-L11)</f>
        <v>17</v>
      </c>
      <c r="N11" s="20">
        <v>0.8840484909760108</v>
      </c>
      <c r="O11" s="9" t="s">
        <v>34</v>
      </c>
    </row>
    <row r="12" spans="1:16" x14ac:dyDescent="0.25">
      <c r="A12" s="9" t="s">
        <v>7</v>
      </c>
      <c r="B12" s="9" t="s">
        <v>48</v>
      </c>
      <c r="C12" s="9" t="s">
        <v>42</v>
      </c>
      <c r="D12" s="16" t="s">
        <v>47</v>
      </c>
      <c r="E12" s="10">
        <v>251.9059</v>
      </c>
      <c r="F12" s="17">
        <v>1.885188</v>
      </c>
      <c r="G12" s="10">
        <v>474.89</v>
      </c>
      <c r="H12" s="18">
        <v>257.06</v>
      </c>
      <c r="I12" s="10">
        <f>F12*H12</f>
        <v>484.60642728000005</v>
      </c>
      <c r="J12" s="10">
        <f>I12-G12</f>
        <v>9.716427280000062</v>
      </c>
      <c r="K12" s="19">
        <f>IFERROR(J12/G12,0)</f>
        <v>0.020460374570953403</v>
      </c>
      <c r="L12" s="11">
        <v>4</v>
      </c>
      <c r="M12" s="11">
        <f>MAX(0,21-L12)</f>
        <v>17</v>
      </c>
      <c r="N12" s="20">
        <v>0.8298272742812407</v>
      </c>
      <c r="O12" s="9" t="s">
        <v>34</v>
      </c>
    </row>
    <row r="13" spans="1:16" x14ac:dyDescent="0.25">
      <c r="A13" s="9" t="s">
        <v>8</v>
      </c>
      <c r="B13" s="9" t="s">
        <v>49</v>
      </c>
      <c r="C13" s="9" t="s">
        <v>42</v>
      </c>
      <c r="D13" s="16" t="s">
        <v>47</v>
      </c>
      <c r="E13" s="10">
        <v>43.7018</v>
      </c>
      <c r="F13" s="17">
        <v>10.86659</v>
      </c>
      <c r="G13" s="10">
        <v>474.89</v>
      </c>
      <c r="H13" s="18">
        <v>45.03</v>
      </c>
      <c r="I13" s="10">
        <f>F13*H13</f>
        <v>489.32254770000003</v>
      </c>
      <c r="J13" s="10">
        <f>I13-G13</f>
        <v>14.432547700000043</v>
      </c>
      <c r="K13" s="19">
        <f>IFERROR(J13/G13,0)</f>
        <v>0.030391348943966064</v>
      </c>
      <c r="L13" s="11">
        <v>4</v>
      </c>
      <c r="M13" s="11">
        <f>MAX(0,21-L13)</f>
        <v>17</v>
      </c>
      <c r="N13" s="20">
        <v>0.7019116395441239</v>
      </c>
      <c r="O13" s="9" t="s">
        <v>34</v>
      </c>
    </row>
    <row r="14" spans="1:16" x14ac:dyDescent="0.25">
      <c r="A14" s="9" t="s">
        <v>9</v>
      </c>
      <c r="B14" s="9" t="s">
        <v>50</v>
      </c>
      <c r="C14" s="9" t="s">
        <v>32</v>
      </c>
      <c r="D14" s="16" t="s">
        <v>51</v>
      </c>
      <c r="E14" s="10">
        <v>211.3456</v>
      </c>
      <c r="F14" s="17">
        <v>2.301822</v>
      </c>
      <c r="G14" s="10">
        <v>486.48</v>
      </c>
      <c r="H14" s="18">
        <v>210.96</v>
      </c>
      <c r="I14" s="10">
        <f>F14*H14</f>
        <v>485.59236912</v>
      </c>
      <c r="J14" s="10">
        <f>I14-G14</f>
        <v>-0.8876308800000174</v>
      </c>
      <c r="K14" s="19">
        <f>IFERROR(J14/G14,0)</f>
        <v>-0.001824598914652231</v>
      </c>
      <c r="L14" s="11">
        <v>0</v>
      </c>
      <c r="M14" s="11">
        <f>MAX(0,21-L14)</f>
        <v>21</v>
      </c>
      <c r="N14" s="20">
        <v>0.6809721702367264</v>
      </c>
      <c r="O14" s="9" t="s">
        <v>34</v>
      </c>
    </row>
    <row r="15" spans="1:16" x14ac:dyDescent="0.25">
      <c r="A15" s="9" t="s">
        <v>10</v>
      </c>
      <c r="B15" s="9" t="s">
        <v>52</v>
      </c>
      <c r="C15" s="9" t="s">
        <v>53</v>
      </c>
      <c r="D15" s="16" t="s">
        <v>51</v>
      </c>
      <c r="E15" s="10">
        <v>383.1915</v>
      </c>
      <c r="F15" s="17">
        <v>1.269548</v>
      </c>
      <c r="G15" s="10">
        <v>486.48</v>
      </c>
      <c r="H15" s="18">
        <v>378.05</v>
      </c>
      <c r="I15" s="10">
        <f>F15*H15</f>
        <v>479.9526214</v>
      </c>
      <c r="J15" s="10">
        <f>I15-G15</f>
        <v>-6.52737860000002</v>
      </c>
      <c r="K15" s="19">
        <f>IFERROR(J15/G15,0)</f>
        <v>-0.013417568245354424</v>
      </c>
      <c r="L15" s="11">
        <v>0</v>
      </c>
      <c r="M15" s="11">
        <f>MAX(0,21-L15)</f>
        <v>21</v>
      </c>
      <c r="N15" s="20">
        <v>0.8197914702434592</v>
      </c>
      <c r="O15" s="9" t="s">
        <v>34</v>
      </c>
    </row>
    <row r="16" spans="1:16" x14ac:dyDescent="0.25">
      <c r="A16" s="9" t="s">
        <v>11</v>
      </c>
      <c r="B16" s="9" t="s">
        <v>54</v>
      </c>
      <c r="C16" s="9" t="s">
        <v>55</v>
      </c>
      <c r="D16" s="16" t="s">
        <v>51</v>
      </c>
      <c r="E16" s="10">
        <v>339.2795</v>
      </c>
      <c r="F16" s="17">
        <v>1.433862</v>
      </c>
      <c r="G16" s="10">
        <v>486.48</v>
      </c>
      <c r="H16" s="18">
        <v>345.71</v>
      </c>
      <c r="I16" s="10">
        <f>F16*H16</f>
        <v>495.70043201999994</v>
      </c>
      <c r="J16" s="10">
        <f>I16-G16</f>
        <v>9.220432019999919</v>
      </c>
      <c r="K16" s="19">
        <f>IFERROR(J16/G16,0)</f>
        <v>0.018953362974839495</v>
      </c>
      <c r="L16" s="11">
        <v>0</v>
      </c>
      <c r="M16" s="11">
        <f>MAX(0,21-L16)</f>
        <v>21</v>
      </c>
      <c r="N16" s="20">
        <v>0.776423257523575</v>
      </c>
      <c r="O16" s="9" t="s">
        <v>34</v>
      </c>
    </row>
    <row r="17" spans="1:15" x14ac:dyDescent="0.25">
      <c r="A17" s="9" t="s">
        <v>12</v>
      </c>
      <c r="B17" s="9" t="s">
        <v>56</v>
      </c>
      <c r="C17" s="9" t="s">
        <v>57</v>
      </c>
      <c r="D17" s="16" t="s">
        <v>51</v>
      </c>
      <c r="E17" s="10">
        <v>67.3437</v>
      </c>
      <c r="F17" s="17">
        <v>7.223843</v>
      </c>
      <c r="G17" s="10">
        <v>486.48</v>
      </c>
      <c r="H17" s="18">
        <v>69.41</v>
      </c>
      <c r="I17" s="10">
        <f>F17*H17</f>
        <v>501.40694262999995</v>
      </c>
      <c r="J17" s="10">
        <f>I17-G17</f>
        <v>14.926942629999928</v>
      </c>
      <c r="K17" s="19">
        <f>IFERROR(J17/G17,0)</f>
        <v>0.03068356896480827</v>
      </c>
      <c r="L17" s="11">
        <v>0</v>
      </c>
      <c r="M17" s="11">
        <f>MAX(0,21-L17)</f>
        <v>21</v>
      </c>
      <c r="N17" s="20">
        <v>0.7994794227521653</v>
      </c>
      <c r="O17" s="9" t="s">
        <v>34</v>
      </c>
    </row>
    <row r="18" spans="1:15" x14ac:dyDescent="0.25">
      <c r="F18" s="13" t="s">
        <v>58</v>
      </c>
      <c r="G18" s="10">
        <f>SUM(G5:G17)</f>
        <v>6231.039999999999</v>
      </c>
      <c r="I18" s="10">
        <f>SUM(I5:I17)</f>
        <v>6395.0199999999995</v>
      </c>
      <c r="J18" s="10">
        <f>SUM(J5:J17)</f>
        <v>163.9799999999999</v>
      </c>
      <c r="K18" s="19">
        <f>IFERROR(J18/G18,0)</f>
        <v>0</v>
      </c>
    </row>
  </sheetData>
  <autoFilter ref="A4:P17"/>
  <conditionalFormatting sqref="K5:K17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7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M5:M17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59</v>
      </c>
    </row>
    <row r="2" spans="1:15">
      <c r="A2" s="2" t="s">
        <v>60</v>
      </c>
    </row>
    <row r="4" spans="1:15" ht="30" customHeight="1">
      <c r="A4" s="15" t="s">
        <v>61</v>
      </c>
      <c r="B4" s="15" t="s">
        <v>15</v>
      </c>
      <c r="C4" s="15" t="s">
        <v>17</v>
      </c>
      <c r="D4" s="15" t="s">
        <v>62</v>
      </c>
      <c r="E4" s="15" t="s">
        <v>19</v>
      </c>
      <c r="F4" s="15" t="s">
        <v>63</v>
      </c>
      <c r="G4" s="15" t="s">
        <v>64</v>
      </c>
      <c r="H4" s="15" t="s">
        <v>20</v>
      </c>
      <c r="I4" s="15" t="s">
        <v>21</v>
      </c>
      <c r="J4" s="15" t="s">
        <v>65</v>
      </c>
      <c r="K4" s="15" t="s">
        <v>24</v>
      </c>
      <c r="L4" s="15" t="s">
        <v>25</v>
      </c>
      <c r="M4" s="15" t="s">
        <v>66</v>
      </c>
      <c r="N4" s="15" t="s">
        <v>28</v>
      </c>
      <c r="O4" s="15" t="s">
        <v>67</v>
      </c>
    </row>
    <row r="5" spans="1:15">
      <c r="A5" s="14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69</v>
      </c>
    </row>
    <row r="2" spans="1:6">
      <c r="A2" s="2" t="s">
        <v>70</v>
      </c>
    </row>
    <row r="4" spans="1:6" ht="30" customHeight="1">
      <c r="A4" s="15" t="s">
        <v>71</v>
      </c>
      <c r="B4" s="15" t="s">
        <v>72</v>
      </c>
      <c r="C4" s="15" t="s">
        <v>73</v>
      </c>
      <c r="D4" s="15" t="s">
        <v>74</v>
      </c>
      <c r="E4" s="15" t="s">
        <v>75</v>
      </c>
      <c r="F4" s="15" t="s">
        <v>76</v>
      </c>
    </row>
    <row r="5" spans="1:6">
      <c r="A5" s="16" t="s">
        <v>77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33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36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38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40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43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45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78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79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47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80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81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82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51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83</v>
      </c>
    </row>
    <row r="2" spans="1:20" x14ac:dyDescent="0.25">
      <c r="A2" s="2" t="s">
        <v>84</v>
      </c>
    </row>
    <row r="4" spans="1:20" ht="30" customHeight="1" x14ac:dyDescent="0.25">
      <c r="A4" s="15" t="s">
        <v>61</v>
      </c>
      <c r="B4" s="15" t="s">
        <v>15</v>
      </c>
      <c r="C4" s="15" t="s">
        <v>16</v>
      </c>
      <c r="D4" s="15" t="s">
        <v>17</v>
      </c>
      <c r="E4" s="15" t="s">
        <v>85</v>
      </c>
      <c r="F4" s="15" t="s">
        <v>86</v>
      </c>
      <c r="G4" s="15" t="s">
        <v>87</v>
      </c>
      <c r="H4" s="15" t="s">
        <v>88</v>
      </c>
      <c r="I4" s="15" t="s">
        <v>89</v>
      </c>
      <c r="J4" s="15" t="s">
        <v>90</v>
      </c>
      <c r="K4" s="15" t="s">
        <v>91</v>
      </c>
      <c r="L4" s="15" t="s">
        <v>92</v>
      </c>
      <c r="M4" s="15" t="s">
        <v>93</v>
      </c>
      <c r="N4" s="15" t="s">
        <v>94</v>
      </c>
      <c r="O4" s="15" t="s">
        <v>95</v>
      </c>
      <c r="P4" s="15" t="s">
        <v>96</v>
      </c>
      <c r="Q4" s="15" t="s">
        <v>97</v>
      </c>
      <c r="R4" s="15" t="s">
        <v>98</v>
      </c>
      <c r="S4" s="15" t="s">
        <v>99</v>
      </c>
      <c r="T4" s="15" t="s">
        <v>100</v>
      </c>
    </row>
    <row r="5" spans="1:20" x14ac:dyDescent="0.25">
      <c r="A5" s="11">
        <v>1</v>
      </c>
      <c r="B5" s="9" t="s">
        <v>4</v>
      </c>
      <c r="C5" s="9" t="s">
        <v>41</v>
      </c>
      <c r="D5" s="9" t="s">
        <v>42</v>
      </c>
      <c r="E5" s="10">
        <v>382.9500122070312</v>
      </c>
      <c r="F5" s="17">
        <v>1.01228894706075</v>
      </c>
      <c r="G5" s="20">
        <v>0.6555418499989493</v>
      </c>
      <c r="H5" s="20">
        <v>-0.683656262521208</v>
      </c>
      <c r="I5" s="20">
        <v>2.861941581666567</v>
      </c>
      <c r="J5" s="20">
        <v>2.22325647473339</v>
      </c>
      <c r="K5" s="20">
        <v>0.6103768664990419</v>
      </c>
      <c r="L5" s="20">
        <v>0.2191803760071019</v>
      </c>
      <c r="M5" s="20">
        <v>-0.4486341382831623</v>
      </c>
      <c r="N5" s="20">
        <v>16.28786</v>
      </c>
      <c r="O5" s="20">
        <v>4.496372</v>
      </c>
      <c r="P5" s="12">
        <v>0.27637</v>
      </c>
      <c r="Q5" s="12">
        <v>0.517</v>
      </c>
      <c r="R5" s="12">
        <v>0.6750788999361592</v>
      </c>
      <c r="S5" s="11">
        <v>70.85054655531712</v>
      </c>
      <c r="T5" s="9" t="s">
        <v>101</v>
      </c>
    </row>
    <row r="6" spans="1:20" x14ac:dyDescent="0.25">
      <c r="A6" s="11">
        <v>2</v>
      </c>
      <c r="B6" s="9" t="s">
        <v>5</v>
      </c>
      <c r="C6" s="9" t="s">
        <v>44</v>
      </c>
      <c r="D6" s="9" t="s">
        <v>42</v>
      </c>
      <c r="E6" s="10">
        <v>396.4500122070312</v>
      </c>
      <c r="F6" s="17">
        <v>0.9937771760734965</v>
      </c>
      <c r="G6" s="20">
        <v>0.6866590119647646</v>
      </c>
      <c r="H6" s="20">
        <v>-0.5768953469214347</v>
      </c>
      <c r="I6" s="20">
        <v>2.437187840999147</v>
      </c>
      <c r="J6" s="20">
        <v>2.213632162250537</v>
      </c>
      <c r="K6" s="20">
        <v>0.7778806600509907</v>
      </c>
      <c r="L6" s="20">
        <v>0.3043746566883123</v>
      </c>
      <c r="M6" s="20">
        <v>-0.711684774440313</v>
      </c>
      <c r="N6" s="20">
        <v>13.7380295</v>
      </c>
      <c r="O6" s="20">
        <v>5.8734603</v>
      </c>
      <c r="P6" s="12">
        <v>0.42099</v>
      </c>
      <c r="Q6" s="12">
        <v>0.537</v>
      </c>
      <c r="R6" s="12">
        <v>0.7643150477120724</v>
      </c>
      <c r="S6" s="11">
        <v>74.93452245635656</v>
      </c>
      <c r="T6" s="9" t="s">
        <v>101</v>
      </c>
    </row>
    <row r="7" spans="1:20" x14ac:dyDescent="0.25">
      <c r="A7" s="11">
        <v>3</v>
      </c>
      <c r="B7" s="9" t="s">
        <v>1</v>
      </c>
      <c r="C7" s="9" t="s">
        <v>35</v>
      </c>
      <c r="D7" s="9" t="s">
        <v>32</v>
      </c>
      <c r="E7" s="10">
        <v>924.030029296875</v>
      </c>
      <c r="F7" s="17">
        <v>0.9551442181031129</v>
      </c>
      <c r="G7" s="20">
        <v>-0.495023614230421</v>
      </c>
      <c r="H7" s="20">
        <v>1.812724042922127</v>
      </c>
      <c r="I7" s="20">
        <v>3.960347878543698</v>
      </c>
      <c r="J7" s="20">
        <v>1.610354219383285</v>
      </c>
      <c r="K7" s="20">
        <v>0.483715047300809</v>
      </c>
      <c r="L7" s="20">
        <v>-3.375332568109985</v>
      </c>
      <c r="M7" s="20">
        <v>0.2443214567274382</v>
      </c>
      <c r="N7" s="20">
        <v>22.024843</v>
      </c>
      <c r="O7" s="20">
        <v>10.93157</v>
      </c>
      <c r="P7" s="12">
        <v>0.66638</v>
      </c>
      <c r="Q7" s="12">
        <v>3.457</v>
      </c>
      <c r="R7" s="12">
        <v>1.16966743669018</v>
      </c>
      <c r="S7" s="11">
        <v>46.41436604092988</v>
      </c>
      <c r="T7" s="9" t="s">
        <v>101</v>
      </c>
    </row>
    <row r="8" spans="1:20" x14ac:dyDescent="0.25">
      <c r="A8" s="11">
        <v>4</v>
      </c>
      <c r="B8" s="9" t="s">
        <v>0</v>
      </c>
      <c r="C8" s="9" t="s">
        <v>31</v>
      </c>
      <c r="D8" s="9" t="s">
        <v>32</v>
      </c>
      <c r="E8" s="10">
        <v>534.280029296875</v>
      </c>
      <c r="F8" s="17">
        <v>0.9390396418388857</v>
      </c>
      <c r="G8" s="20">
        <v>-0.1521673872440041</v>
      </c>
      <c r="H8" s="20">
        <v>-0.8490211958234019</v>
      </c>
      <c r="I8" s="20">
        <v>2.18194679071571</v>
      </c>
      <c r="J8" s="20">
        <v>2.749859706342906</v>
      </c>
      <c r="K8" s="20">
        <v>1.608161809570836</v>
      </c>
      <c r="L8" s="20">
        <v>-2.845436735620273</v>
      </c>
      <c r="M8" s="20">
        <v>0.4608419861102997</v>
      </c>
      <c r="N8" s="20">
        <v>33.00116</v>
      </c>
      <c r="O8" s="20">
        <v>-256.4602</v>
      </c>
      <c r="P8" s="12">
        <v>0</v>
      </c>
      <c r="Q8" s="12">
        <v>0.577</v>
      </c>
      <c r="R8" s="12">
        <v>2.540553811407082</v>
      </c>
      <c r="S8" s="11">
        <v>59.27403744918696</v>
      </c>
      <c r="T8" s="9" t="s">
        <v>101</v>
      </c>
    </row>
    <row r="9" spans="1:20" x14ac:dyDescent="0.25">
      <c r="A9" s="11">
        <v>5</v>
      </c>
      <c r="B9" s="9" t="s">
        <v>2</v>
      </c>
      <c r="C9" s="9" t="s">
        <v>37</v>
      </c>
      <c r="D9" s="9" t="s">
        <v>32</v>
      </c>
      <c r="E9" s="10">
        <v>1551.989990234375</v>
      </c>
      <c r="F9" s="17">
        <v>0.92078027148921</v>
      </c>
      <c r="G9" s="20">
        <v>-0.4801631684214276</v>
      </c>
      <c r="H9" s="20">
        <v>2.05728233065155</v>
      </c>
      <c r="I9" s="20">
        <v>4.117187201861848</v>
      </c>
      <c r="J9" s="20">
        <v>1.394863130104923</v>
      </c>
      <c r="K9" s="20">
        <v>0.0871860051577696</v>
      </c>
      <c r="L9" s="20">
        <v>-3.375332568109985</v>
      </c>
      <c r="M9" s="20">
        <v>0.499055539385301</v>
      </c>
      <c r="N9" s="20">
        <v>22.12312</v>
      </c>
      <c r="O9" s="20">
        <v>15.465718</v>
      </c>
      <c r="P9" s="12">
        <v>0.9164</v>
      </c>
      <c r="Q9" s="12">
        <v>3.716</v>
      </c>
      <c r="R9" s="12">
        <v>1.345742271527757</v>
      </c>
      <c r="S9" s="11">
        <v>48.83790364120002</v>
      </c>
      <c r="T9" s="9" t="s">
        <v>101</v>
      </c>
    </row>
    <row r="10" spans="1:20" x14ac:dyDescent="0.25">
      <c r="A10" s="11">
        <v>6</v>
      </c>
      <c r="B10" s="9" t="s">
        <v>12</v>
      </c>
      <c r="C10" s="9" t="s">
        <v>56</v>
      </c>
      <c r="D10" s="9" t="s">
        <v>57</v>
      </c>
      <c r="E10" s="10">
        <v>69.41000366210938</v>
      </c>
      <c r="F10" s="17">
        <v>0.9006741142353692</v>
      </c>
      <c r="G10" s="20">
        <v>1.282244047014282</v>
      </c>
      <c r="H10" s="20">
        <v>-1.356970430261629</v>
      </c>
      <c r="I10" s="20">
        <v>-0.5801056520622042</v>
      </c>
      <c r="J10" s="20">
        <v>1.532770805520431</v>
      </c>
      <c r="K10" s="20">
        <v>4.197997932171494</v>
      </c>
      <c r="L10" s="20">
        <v>-0.02542500209616996</v>
      </c>
      <c r="M10" s="20">
        <v>-0.2133684196257324</v>
      </c>
      <c r="N10" s="20">
        <v>12.502541</v>
      </c>
      <c r="O10" s="20">
        <v>1.4542508</v>
      </c>
      <c r="P10" s="12">
        <v>-0.20358999</v>
      </c>
      <c r="Q10" s="12">
        <v>0.046</v>
      </c>
      <c r="R10" s="12">
        <v>1.014804125542404</v>
      </c>
      <c r="S10" s="11">
        <v>61.40478798365034</v>
      </c>
      <c r="T10" s="9" t="s">
        <v>101</v>
      </c>
    </row>
    <row r="11" spans="1:20" x14ac:dyDescent="0.25">
      <c r="A11" s="11">
        <v>7</v>
      </c>
      <c r="B11" s="9" t="s">
        <v>10</v>
      </c>
      <c r="C11" s="9" t="s">
        <v>52</v>
      </c>
      <c r="D11" s="9" t="s">
        <v>53</v>
      </c>
      <c r="E11" s="10">
        <v>378.0499877929688</v>
      </c>
      <c r="F11" s="17">
        <v>0.8631958713640447</v>
      </c>
      <c r="G11" s="20">
        <v>1.195906561845193</v>
      </c>
      <c r="H11" s="20">
        <v>-0.1235890761074189</v>
      </c>
      <c r="I11" s="20">
        <v>-0.3802373592559733</v>
      </c>
      <c r="J11" s="20">
        <v>0.7947370846814427</v>
      </c>
      <c r="K11" s="20">
        <v>3.830172009219837</v>
      </c>
      <c r="L11" s="20">
        <v>0.5684774989845738</v>
      </c>
      <c r="M11" s="20">
        <v>-0.3302467264399167</v>
      </c>
      <c r="N11" s="20">
        <v>10.080602</v>
      </c>
      <c r="O11" s="20">
        <v>2.3630478</v>
      </c>
      <c r="P11" s="12">
        <v>0.26511</v>
      </c>
      <c r="Q11" s="12">
        <v>0.003</v>
      </c>
      <c r="R11" s="12">
        <v>0.2593092288545</v>
      </c>
      <c r="S11" s="11">
        <v>60.97994843730039</v>
      </c>
      <c r="T11" s="9" t="s">
        <v>101</v>
      </c>
    </row>
    <row r="12" spans="1:20" x14ac:dyDescent="0.25">
      <c r="A12" s="11">
        <v>8</v>
      </c>
      <c r="B12" s="9" t="s">
        <v>102</v>
      </c>
      <c r="C12" s="9" t="s">
        <v>103</v>
      </c>
      <c r="D12" s="9" t="s">
        <v>55</v>
      </c>
      <c r="E12" s="10">
        <v>349.3900146484375</v>
      </c>
      <c r="F12" s="17">
        <v>0.8410723709429708</v>
      </c>
      <c r="G12" s="20">
        <v>-0.3791628567675373</v>
      </c>
      <c r="H12" s="20">
        <v>1.461933114403917</v>
      </c>
      <c r="I12" s="20">
        <v>1.394253875646282</v>
      </c>
      <c r="J12" s="20">
        <v>0.09775964055743695</v>
      </c>
      <c r="K12" s="20">
        <v>4.197997932171494</v>
      </c>
      <c r="L12" s="20">
        <v>0.04290532467272344</v>
      </c>
      <c r="M12" s="20">
        <v>0.00406294729623613</v>
      </c>
      <c r="N12" s="20">
        <v>16.975927</v>
      </c>
      <c r="O12" s="20">
        <v>6.6508174</v>
      </c>
      <c r="P12" s="12">
        <v>0.48676</v>
      </c>
      <c r="Q12" s="12">
        <v>0.242</v>
      </c>
      <c r="R12" s="12">
        <v>0.1572827577604365</v>
      </c>
      <c r="S12" s="11">
        <v>55.27304228383611</v>
      </c>
      <c r="T12" s="9" t="s">
        <v>101</v>
      </c>
    </row>
    <row r="13" spans="1:20" x14ac:dyDescent="0.25">
      <c r="A13" s="11">
        <v>9</v>
      </c>
      <c r="B13" s="9" t="s">
        <v>11</v>
      </c>
      <c r="C13" s="9" t="s">
        <v>54</v>
      </c>
      <c r="D13" s="9" t="s">
        <v>55</v>
      </c>
      <c r="E13" s="10">
        <v>345.7099914550781</v>
      </c>
      <c r="F13" s="17">
        <v>0.8359806889782336</v>
      </c>
      <c r="G13" s="20">
        <v>-0.3694515340244113</v>
      </c>
      <c r="H13" s="20">
        <v>1.461933114403917</v>
      </c>
      <c r="I13" s="20">
        <v>1.394253875646282</v>
      </c>
      <c r="J13" s="20">
        <v>0.05994526779680345</v>
      </c>
      <c r="K13" s="20">
        <v>4.197997932171494</v>
      </c>
      <c r="L13" s="20">
        <v>0.06749015820869138</v>
      </c>
      <c r="M13" s="20">
        <v>0.04193171926538725</v>
      </c>
      <c r="N13" s="20">
        <v>16.83141</v>
      </c>
      <c r="O13" s="20">
        <v>6.5908914</v>
      </c>
      <c r="P13" s="12">
        <v>0.48676</v>
      </c>
      <c r="Q13" s="12">
        <v>0.242</v>
      </c>
      <c r="R13" s="12">
        <v>0.1482207138835352</v>
      </c>
      <c r="S13" s="11">
        <v>54.86677435742562</v>
      </c>
      <c r="T13" s="9" t="s">
        <v>101</v>
      </c>
    </row>
    <row r="14" spans="1:20" x14ac:dyDescent="0.25">
      <c r="A14" s="11">
        <v>10</v>
      </c>
      <c r="B14" s="9" t="s">
        <v>104</v>
      </c>
      <c r="C14" s="9" t="s">
        <v>105</v>
      </c>
      <c r="D14" s="9" t="s">
        <v>32</v>
      </c>
      <c r="E14" s="10">
        <v>259.4299926757812</v>
      </c>
      <c r="F14" s="17">
        <v>0.8296267170835715</v>
      </c>
      <c r="G14" s="20">
        <v>0.3415976968814792</v>
      </c>
      <c r="H14" s="20">
        <v>0.5361174605758535</v>
      </c>
      <c r="I14" s="20">
        <v>0.1958909336866145</v>
      </c>
      <c r="J14" s="20">
        <v>1.334480265558949</v>
      </c>
      <c r="K14" s="20">
        <v>3.532387487349705</v>
      </c>
      <c r="L14" s="20">
        <v>-1.53918117489099</v>
      </c>
      <c r="M14" s="20">
        <v>-0.8638557884010362</v>
      </c>
      <c r="N14" s="20">
        <v>22.684982</v>
      </c>
      <c r="O14" s="20">
        <v>5.312232</v>
      </c>
      <c r="P14" s="12">
        <v>0.19381</v>
      </c>
      <c r="Q14" s="12">
        <v>0.108</v>
      </c>
      <c r="R14" s="12">
        <v>0.3522277194846328</v>
      </c>
      <c r="S14" s="11">
        <v>69.75681441978077</v>
      </c>
      <c r="T14" s="9" t="s">
        <v>101</v>
      </c>
    </row>
    <row r="15" spans="1:20" x14ac:dyDescent="0.25">
      <c r="A15" s="11">
        <v>11</v>
      </c>
      <c r="B15" s="9" t="s">
        <v>7</v>
      </c>
      <c r="C15" s="9" t="s">
        <v>48</v>
      </c>
      <c r="D15" s="9" t="s">
        <v>42</v>
      </c>
      <c r="E15" s="10">
        <v>257.0599975585938</v>
      </c>
      <c r="F15" s="17">
        <v>0.824071231833528</v>
      </c>
      <c r="G15" s="20">
        <v>0.4728319185405508</v>
      </c>
      <c r="H15" s="20">
        <v>-0.7907783719627398</v>
      </c>
      <c r="I15" s="20">
        <v>2.406342473145227</v>
      </c>
      <c r="J15" s="20">
        <v>1.929147647251266</v>
      </c>
      <c r="K15" s="20">
        <v>0.6936117762578806</v>
      </c>
      <c r="L15" s="20">
        <v>0.4992828079226008</v>
      </c>
      <c r="M15" s="20">
        <v>-0.8385362138242139</v>
      </c>
      <c r="N15" s="20">
        <v>14.818389</v>
      </c>
      <c r="O15" s="20">
        <v>3.2861774</v>
      </c>
      <c r="P15" s="12">
        <v>0.23452999</v>
      </c>
      <c r="Q15" s="12">
        <v>0.531</v>
      </c>
      <c r="R15" s="12">
        <v>0.5068919214337058</v>
      </c>
      <c r="S15" s="11">
        <v>70.26503245998802</v>
      </c>
      <c r="T15" s="9" t="s">
        <v>101</v>
      </c>
    </row>
    <row r="16" spans="1:20" x14ac:dyDescent="0.25">
      <c r="A16" s="11">
        <v>12</v>
      </c>
      <c r="B16" s="9" t="s">
        <v>106</v>
      </c>
      <c r="C16" s="9" t="s">
        <v>107</v>
      </c>
      <c r="D16" s="9" t="s">
        <v>32</v>
      </c>
      <c r="E16" s="10">
        <v>55.40999984741211</v>
      </c>
      <c r="F16" s="17">
        <v>0.7981458632159613</v>
      </c>
      <c r="G16" s="20">
        <v>0.3530298731450531</v>
      </c>
      <c r="H16" s="20">
        <v>-0.5362564771804156</v>
      </c>
      <c r="I16" s="20">
        <v>2.205637651643404</v>
      </c>
      <c r="J16" s="20">
        <v>1.950292945949812</v>
      </c>
      <c r="K16" s="20">
        <v>0</v>
      </c>
      <c r="L16" s="20">
        <v>-1.927064249293187</v>
      </c>
      <c r="M16" s="20">
        <v>0.4324528102638764</v>
      </c>
      <c r="N16" s="20">
        <v>32.005154</v>
      </c>
      <c r="O16" s="20">
        <v>3.1100981</v>
      </c>
      <c r="P16" s="12">
        <v>0.10936</v>
      </c>
      <c r="Q16" s="12">
        <v>0.337</v>
      </c>
      <c r="R16" s="12">
        <v>1.591772361385027</v>
      </c>
      <c r="S16" s="11">
        <v>52.07947637617934</v>
      </c>
      <c r="T16" s="9" t="s">
        <v>101</v>
      </c>
    </row>
    <row r="17" spans="1:20" x14ac:dyDescent="0.25">
      <c r="A17" s="11">
        <v>13</v>
      </c>
      <c r="B17" s="9" t="s">
        <v>6</v>
      </c>
      <c r="C17" s="9" t="s">
        <v>46</v>
      </c>
      <c r="D17" s="9" t="s">
        <v>42</v>
      </c>
      <c r="E17" s="10">
        <v>61.77999877929688</v>
      </c>
      <c r="F17" s="17">
        <v>0.7488325358416236</v>
      </c>
      <c r="G17" s="20">
        <v>0.6018835051913498</v>
      </c>
      <c r="H17" s="20">
        <v>0.6139340215135211</v>
      </c>
      <c r="I17" s="20">
        <v>2.907067021605936</v>
      </c>
      <c r="J17" s="20">
        <v>0.5639565866142032</v>
      </c>
      <c r="K17" s="20">
        <v>0.9185011287118862</v>
      </c>
      <c r="L17" s="20">
        <v>0.3496493944465213</v>
      </c>
      <c r="M17" s="20">
        <v>-0.6103589474006887</v>
      </c>
      <c r="N17" s="20">
        <v>18.129793</v>
      </c>
      <c r="O17" s="20">
        <v>1.836326</v>
      </c>
      <c r="P17" s="12">
        <v>0.10629</v>
      </c>
      <c r="Q17" s="12">
        <v>0.534</v>
      </c>
      <c r="R17" s="12">
        <v>0.0772313801886213</v>
      </c>
      <c r="S17" s="11">
        <v>65.06265728902758</v>
      </c>
      <c r="T17" s="9" t="s">
        <v>101</v>
      </c>
    </row>
    <row r="18" spans="1:20" x14ac:dyDescent="0.25">
      <c r="A18" s="11">
        <v>14</v>
      </c>
      <c r="B18" s="9" t="s">
        <v>108</v>
      </c>
      <c r="C18" s="9" t="s">
        <v>109</v>
      </c>
      <c r="D18" s="9" t="s">
        <v>110</v>
      </c>
      <c r="E18" s="10">
        <v>158.6999969482422</v>
      </c>
      <c r="F18" s="17">
        <v>0.6704875708320357</v>
      </c>
      <c r="G18" s="20">
        <v>0.5169435305631409</v>
      </c>
      <c r="H18" s="20">
        <v>-0.5609987008817506</v>
      </c>
      <c r="I18" s="20">
        <v>-0.03865308917984001</v>
      </c>
      <c r="J18" s="20">
        <v>1.078124005853262</v>
      </c>
      <c r="K18" s="20">
        <v>3.298192368587258</v>
      </c>
      <c r="L18" s="20">
        <v>0.2949725556201062</v>
      </c>
      <c r="M18" s="20">
        <v>-0.8231975366740211</v>
      </c>
      <c r="N18" s="20">
        <v>16.148188</v>
      </c>
      <c r="O18" s="20">
        <v>3.9674618</v>
      </c>
      <c r="P18" s="12">
        <v>0.26408002</v>
      </c>
      <c r="Q18" s="12">
        <v>0.053</v>
      </c>
      <c r="R18" s="12">
        <v>0.3757373933555348</v>
      </c>
      <c r="S18" s="11">
        <v>52.9546715385213</v>
      </c>
      <c r="T18" s="9" t="s">
        <v>101</v>
      </c>
    </row>
    <row r="19" spans="1:20" x14ac:dyDescent="0.25">
      <c r="A19" s="11">
        <v>15</v>
      </c>
      <c r="B19" s="9" t="s">
        <v>111</v>
      </c>
      <c r="C19" s="9" t="s">
        <v>112</v>
      </c>
      <c r="D19" s="9" t="s">
        <v>53</v>
      </c>
      <c r="E19" s="10">
        <v>258.4800109863281</v>
      </c>
      <c r="F19" s="17">
        <v>0.6636239767702646</v>
      </c>
      <c r="G19" s="20">
        <v>1.275714742496789</v>
      </c>
      <c r="H19" s="20">
        <v>0.1637485141969772</v>
      </c>
      <c r="I19" s="20">
        <v>-0.05524579084430264</v>
      </c>
      <c r="J19" s="20">
        <v>0.5771411111412715</v>
      </c>
      <c r="K19" s="20">
        <v>1.860968460950166</v>
      </c>
      <c r="L19" s="20">
        <v>0.4908272472238406</v>
      </c>
      <c r="M19" s="20">
        <v>-0.1573505444509424</v>
      </c>
      <c r="N19" s="20">
        <v>5.081314</v>
      </c>
      <c r="O19" s="20">
        <v>2.0330794</v>
      </c>
      <c r="P19" s="12">
        <v>0.46113998</v>
      </c>
      <c r="Q19" s="12">
        <v>0.118</v>
      </c>
      <c r="R19" s="12">
        <v>0.2655726794771835</v>
      </c>
      <c r="S19" s="11">
        <v>52.03093909583132</v>
      </c>
      <c r="T19" s="9" t="s">
        <v>101</v>
      </c>
    </row>
    <row r="20" spans="1:20" x14ac:dyDescent="0.25">
      <c r="A20" s="11">
        <v>16</v>
      </c>
      <c r="B20" s="9" t="s">
        <v>113</v>
      </c>
      <c r="C20" s="9" t="s">
        <v>114</v>
      </c>
      <c r="D20" s="9" t="s">
        <v>115</v>
      </c>
      <c r="E20" s="10">
        <v>253.5399932861328</v>
      </c>
      <c r="F20" s="17">
        <v>0.6492655173943512</v>
      </c>
      <c r="G20" s="20">
        <v>-0.04046750433284103</v>
      </c>
      <c r="H20" s="20">
        <v>0.1570571804969511</v>
      </c>
      <c r="I20" s="20">
        <v>1.023343627582307</v>
      </c>
      <c r="J20" s="20">
        <v>0.1552359262998876</v>
      </c>
      <c r="K20" s="20">
        <v>4.197997932171494</v>
      </c>
      <c r="L20" s="20">
        <v>-0.4046724909683029</v>
      </c>
      <c r="M20" s="20">
        <v>0.037949703050905</v>
      </c>
      <c r="N20" s="20">
        <v>20.658085</v>
      </c>
      <c r="O20" s="20">
        <v>5.0195484</v>
      </c>
      <c r="P20" s="12">
        <v>0.30558002</v>
      </c>
      <c r="Q20" s="12">
        <v>0.196</v>
      </c>
      <c r="R20" s="12">
        <v>0.2208792580614893</v>
      </c>
      <c r="S20" s="11">
        <v>45.84245200474109</v>
      </c>
      <c r="T20" s="9" t="s">
        <v>101</v>
      </c>
    </row>
    <row r="21" spans="1:20" x14ac:dyDescent="0.25">
      <c r="A21" s="11">
        <v>17</v>
      </c>
      <c r="B21" s="9" t="s">
        <v>116</v>
      </c>
      <c r="C21" s="9" t="s">
        <v>117</v>
      </c>
      <c r="D21" s="9" t="s">
        <v>32</v>
      </c>
      <c r="E21" s="10">
        <v>188.2799987792969</v>
      </c>
      <c r="F21" s="17">
        <v>0.6404347402016241</v>
      </c>
      <c r="G21" s="20">
        <v>-0.4603187739276002</v>
      </c>
      <c r="H21" s="20">
        <v>1.359216064961746</v>
      </c>
      <c r="I21" s="20">
        <v>0.4362761666871086</v>
      </c>
      <c r="J21" s="20">
        <v>1.396710524583753</v>
      </c>
      <c r="K21" s="20">
        <v>0</v>
      </c>
      <c r="L21" s="20">
        <v>-0.416347229748139</v>
      </c>
      <c r="M21" s="20">
        <v>-0.108681999605382</v>
      </c>
      <c r="N21" s="20">
        <v>28.186703</v>
      </c>
      <c r="O21" s="20">
        <v>26.124804</v>
      </c>
      <c r="P21" s="12">
        <v>1.14818</v>
      </c>
      <c r="Q21" s="12">
        <v>0.299</v>
      </c>
      <c r="R21" s="12">
        <v>0.9239728482142766</v>
      </c>
      <c r="S21" s="11">
        <v>50.89744488112564</v>
      </c>
      <c r="T21" s="9" t="s">
        <v>101</v>
      </c>
    </row>
    <row r="22" spans="1:20" x14ac:dyDescent="0.25">
      <c r="A22" s="11">
        <v>18</v>
      </c>
      <c r="B22" s="9" t="s">
        <v>118</v>
      </c>
      <c r="C22" s="9" t="s">
        <v>119</v>
      </c>
      <c r="D22" s="9" t="s">
        <v>57</v>
      </c>
      <c r="E22" s="10">
        <v>122.1900024414062</v>
      </c>
      <c r="F22" s="17">
        <v>0.5542611253698945</v>
      </c>
      <c r="G22" s="20">
        <v>0.3560597278471356</v>
      </c>
      <c r="H22" s="20">
        <v>0.5036708481790161</v>
      </c>
      <c r="I22" s="20">
        <v>0.5191598695187023</v>
      </c>
      <c r="J22" s="20">
        <v>0.5733477433246573</v>
      </c>
      <c r="K22" s="20">
        <v>1.650037757958823</v>
      </c>
      <c r="L22" s="20">
        <v>0.1426259815604311</v>
      </c>
      <c r="M22" s="20">
        <v>-0.2612420143648083</v>
      </c>
      <c r="N22" s="20">
        <v>15.473886</v>
      </c>
      <c r="O22" s="20">
        <v>3.847884</v>
      </c>
      <c r="P22" s="12">
        <v>0.30667</v>
      </c>
      <c r="Q22" s="12">
        <v>0.377</v>
      </c>
      <c r="R22" s="12">
        <v>0.3204020016483911</v>
      </c>
      <c r="S22" s="11">
        <v>46.46241016422281</v>
      </c>
      <c r="T22" s="9" t="s">
        <v>101</v>
      </c>
    </row>
    <row r="23" spans="1:20" x14ac:dyDescent="0.25">
      <c r="A23" s="11">
        <v>19</v>
      </c>
      <c r="B23" s="9" t="s">
        <v>120</v>
      </c>
      <c r="C23" s="9" t="s">
        <v>121</v>
      </c>
      <c r="D23" s="9" t="s">
        <v>32</v>
      </c>
      <c r="E23" s="10">
        <v>34.02000045776367</v>
      </c>
      <c r="F23" s="17">
        <v>0.5526847296036832</v>
      </c>
      <c r="G23" s="20">
        <v>0.9932091735796537</v>
      </c>
      <c r="H23" s="20">
        <v>-0.9910800207632466</v>
      </c>
      <c r="I23" s="20">
        <v>-0.385570790078564</v>
      </c>
      <c r="J23" s="20">
        <v>1.867556802628306</v>
      </c>
      <c r="K23" s="20">
        <v>0.4113368649018186</v>
      </c>
      <c r="L23" s="20">
        <v>-0.7230916617578612</v>
      </c>
      <c r="M23" s="20">
        <v>0.05993744772603726</v>
      </c>
      <c r="N23" s="20">
        <v>13.5419855</v>
      </c>
      <c r="O23" s="20">
        <v>-347.84314</v>
      </c>
      <c r="P23" s="12">
        <v>0</v>
      </c>
      <c r="Q23" s="12">
        <v>0.125</v>
      </c>
      <c r="R23" s="12">
        <v>0.8367060329642197</v>
      </c>
      <c r="S23" s="11">
        <v>64.02313735821257</v>
      </c>
      <c r="T23" s="9" t="s">
        <v>101</v>
      </c>
    </row>
    <row r="24" spans="1:20" x14ac:dyDescent="0.25">
      <c r="A24" s="11">
        <v>20</v>
      </c>
      <c r="B24" s="9" t="s">
        <v>8</v>
      </c>
      <c r="C24" s="9" t="s">
        <v>49</v>
      </c>
      <c r="D24" s="9" t="s">
        <v>42</v>
      </c>
      <c r="E24" s="10">
        <v>45.02999877929688</v>
      </c>
      <c r="F24" s="17">
        <v>0.5521464870932067</v>
      </c>
      <c r="G24" s="20">
        <v>1.099839703019805</v>
      </c>
      <c r="H24" s="20">
        <v>0.5600572175760307</v>
      </c>
      <c r="I24" s="20">
        <v>-0.2922173294313919</v>
      </c>
      <c r="J24" s="20">
        <v>1.450373048581954</v>
      </c>
      <c r="K24" s="20">
        <v>-0.5699044936216348</v>
      </c>
      <c r="L24" s="20">
        <v>-0.2228253554151386</v>
      </c>
      <c r="M24" s="20">
        <v>-0.7445741916808229</v>
      </c>
      <c r="N24" s="20">
        <v>9.436709</v>
      </c>
      <c r="O24" s="20">
        <v>2.2340426</v>
      </c>
      <c r="P24" s="12">
        <v>0.26659</v>
      </c>
      <c r="Q24" s="12">
        <v>0.092</v>
      </c>
      <c r="R24" s="12">
        <v>0.3243533335450024</v>
      </c>
      <c r="S24" s="11">
        <v>64.65499916721588</v>
      </c>
      <c r="T24" s="9" t="s">
        <v>101</v>
      </c>
    </row>
    <row r="25" spans="1:20" x14ac:dyDescent="0.25">
      <c r="A25" s="11">
        <v>21</v>
      </c>
      <c r="B25" s="9" t="s">
        <v>122</v>
      </c>
      <c r="C25" s="9" t="s">
        <v>123</v>
      </c>
      <c r="D25" s="9" t="s">
        <v>110</v>
      </c>
      <c r="E25" s="10">
        <v>119.1699981689453</v>
      </c>
      <c r="F25" s="17">
        <v>0.5469331124930834</v>
      </c>
      <c r="G25" s="20">
        <v>0.4228371578138432</v>
      </c>
      <c r="H25" s="20">
        <v>-0.1266107877394232</v>
      </c>
      <c r="I25" s="20">
        <v>0.4718408509917099</v>
      </c>
      <c r="J25" s="20">
        <v>-0.1268757252433695</v>
      </c>
      <c r="K25" s="20">
        <v>4.197997932171494</v>
      </c>
      <c r="L25" s="20">
        <v>0.08136732697339379</v>
      </c>
      <c r="M25" s="20">
        <v>-0.3335376110030455</v>
      </c>
      <c r="N25" s="20">
        <v>14.463892</v>
      </c>
      <c r="O25" s="20">
        <v>6.474714</v>
      </c>
      <c r="P25" s="12">
        <v>0.46032003</v>
      </c>
      <c r="Q25" s="12">
        <v>0.07000000000000001</v>
      </c>
      <c r="R25" s="12">
        <v>0.1089707722337463</v>
      </c>
      <c r="S25" s="11">
        <v>37.63397580688533</v>
      </c>
      <c r="T25" s="9" t="s">
        <v>101</v>
      </c>
    </row>
    <row r="26" spans="1:20" x14ac:dyDescent="0.25">
      <c r="A26" s="11">
        <v>22</v>
      </c>
      <c r="B26" s="9" t="s">
        <v>124</v>
      </c>
      <c r="C26" s="9" t="s">
        <v>125</v>
      </c>
      <c r="D26" s="9" t="s">
        <v>53</v>
      </c>
      <c r="E26" s="10">
        <v>988.4500122070312</v>
      </c>
      <c r="F26" s="17">
        <v>0.5251208465853666</v>
      </c>
      <c r="G26" s="20">
        <v>0.3658514008022524</v>
      </c>
      <c r="H26" s="20">
        <v>0.8216781549389145</v>
      </c>
      <c r="I26" s="20">
        <v>0.9093352353792101</v>
      </c>
      <c r="J26" s="20">
        <v>-0.04145999161670547</v>
      </c>
      <c r="K26" s="20">
        <v>1.666581342507164</v>
      </c>
      <c r="L26" s="20">
        <v>0.07543324747431411</v>
      </c>
      <c r="M26" s="20">
        <v>0.5598475956063371</v>
      </c>
      <c r="N26" s="20">
        <v>15.897128</v>
      </c>
      <c r="O26" s="20">
        <v>2.842654</v>
      </c>
      <c r="P26" s="12">
        <v>0.16902</v>
      </c>
      <c r="Q26" s="12">
        <v>0.425</v>
      </c>
      <c r="R26" s="12">
        <v>0.2754486009594632</v>
      </c>
      <c r="S26" s="11">
        <v>39.52991259648539</v>
      </c>
      <c r="T26" s="9" t="s">
        <v>101</v>
      </c>
    </row>
    <row r="27" spans="1:20" x14ac:dyDescent="0.25">
      <c r="A27" s="11">
        <v>23</v>
      </c>
      <c r="B27" s="9" t="s">
        <v>126</v>
      </c>
      <c r="C27" s="9" t="s">
        <v>127</v>
      </c>
      <c r="D27" s="9" t="s">
        <v>32</v>
      </c>
      <c r="E27" s="10">
        <v>36.7400016784668</v>
      </c>
      <c r="F27" s="17">
        <v>0.5154468331968604</v>
      </c>
      <c r="G27" s="20">
        <v>0.005970682120931148</v>
      </c>
      <c r="H27" s="20">
        <v>-0.8151434307759278</v>
      </c>
      <c r="I27" s="20">
        <v>3.899748911067756</v>
      </c>
      <c r="J27" s="20">
        <v>0.2873587861215741</v>
      </c>
      <c r="K27" s="20">
        <v>3.387114135534589</v>
      </c>
      <c r="L27" s="20">
        <v>-3.375332568109985</v>
      </c>
      <c r="M27" s="20">
        <v>-0.4415151222694788</v>
      </c>
      <c r="N27" s="20">
        <v>12.300613</v>
      </c>
      <c r="O27" s="20">
        <v>2.5690305</v>
      </c>
      <c r="P27" s="12">
        <v>0.21465999</v>
      </c>
      <c r="Q27" s="12">
        <v>0.9320000000000001</v>
      </c>
      <c r="R27" s="12">
        <v>0.1947968025517657</v>
      </c>
      <c r="S27" s="11">
        <v>50.70653346487457</v>
      </c>
      <c r="T27" s="9" t="s">
        <v>101</v>
      </c>
    </row>
    <row r="28" spans="1:20" x14ac:dyDescent="0.25">
      <c r="A28" s="11">
        <v>24</v>
      </c>
      <c r="B28" s="9" t="s">
        <v>128</v>
      </c>
      <c r="C28" s="9" t="s">
        <v>129</v>
      </c>
      <c r="D28" s="9" t="s">
        <v>53</v>
      </c>
      <c r="E28" s="10">
        <v>206.6799926757812</v>
      </c>
      <c r="F28" s="17">
        <v>0.504567505531323</v>
      </c>
      <c r="G28" s="20">
        <v>0.5982241598157348</v>
      </c>
      <c r="H28" s="20">
        <v>-0.6609329225841165</v>
      </c>
      <c r="I28" s="20">
        <v>4.117187201861848</v>
      </c>
      <c r="J28" s="20">
        <v>-0.07830011893937884</v>
      </c>
      <c r="K28" s="20">
        <v>0.6077919314133636</v>
      </c>
      <c r="L28" s="20">
        <v>0.6090994367614738</v>
      </c>
      <c r="M28" s="20">
        <v>0.06158427372857556</v>
      </c>
      <c r="N28" s="20">
        <v>11.482911</v>
      </c>
      <c r="O28" s="20">
        <v>1.2409225</v>
      </c>
      <c r="P28" s="12">
        <v>0.09031</v>
      </c>
      <c r="Q28" s="12">
        <v>11.11</v>
      </c>
      <c r="R28" s="12">
        <v>0.1585748780907137</v>
      </c>
      <c r="S28" s="11">
        <v>40.13111347997287</v>
      </c>
      <c r="T28" s="9" t="s">
        <v>101</v>
      </c>
    </row>
    <row r="29" spans="1:20" x14ac:dyDescent="0.25">
      <c r="A29" s="11">
        <v>25</v>
      </c>
      <c r="B29" s="9" t="s">
        <v>130</v>
      </c>
      <c r="C29" s="9" t="s">
        <v>131</v>
      </c>
      <c r="D29" s="9" t="s">
        <v>32</v>
      </c>
      <c r="E29" s="10">
        <v>351.8099975585938</v>
      </c>
      <c r="F29" s="17">
        <v>0.5022143598943355</v>
      </c>
      <c r="G29" s="20">
        <v>0.116365121381956</v>
      </c>
      <c r="H29" s="20">
        <v>-0.2401012663427755</v>
      </c>
      <c r="I29" s="20">
        <v>0.4632294407463022</v>
      </c>
      <c r="J29" s="20">
        <v>1.46904739909879</v>
      </c>
      <c r="K29" s="20">
        <v>1.709491264929422</v>
      </c>
      <c r="L29" s="20">
        <v>-1.628486928373788</v>
      </c>
      <c r="M29" s="20">
        <v>-0.9347757404117922</v>
      </c>
      <c r="N29" s="20">
        <v>32.14404</v>
      </c>
      <c r="O29" s="20">
        <v>4.8336897</v>
      </c>
      <c r="P29" s="12">
        <v>0.15286</v>
      </c>
      <c r="Q29" s="12">
        <v>0.204</v>
      </c>
      <c r="R29" s="12">
        <v>0.7354478859516924</v>
      </c>
      <c r="S29" s="11">
        <v>53.41973379161933</v>
      </c>
      <c r="T29" s="9" t="s">
        <v>101</v>
      </c>
    </row>
    <row r="30" spans="1:20" x14ac:dyDescent="0.25">
      <c r="A30" s="11">
        <v>26</v>
      </c>
      <c r="B30" s="9" t="s">
        <v>132</v>
      </c>
      <c r="C30" s="9" t="s">
        <v>133</v>
      </c>
      <c r="D30" s="9" t="s">
        <v>32</v>
      </c>
      <c r="E30" s="10">
        <v>97.19000244140625</v>
      </c>
      <c r="F30" s="17">
        <v>0.4977545090094619</v>
      </c>
      <c r="G30" s="20">
        <v>-0.7359494773385853</v>
      </c>
      <c r="H30" s="20">
        <v>-1.140633242548325</v>
      </c>
      <c r="I30" s="20">
        <v>0.5241404076306111</v>
      </c>
      <c r="J30" s="20">
        <v>1.090085289670754</v>
      </c>
      <c r="K30" s="20">
        <v>4.197997932171494</v>
      </c>
      <c r="L30" s="20">
        <v>-2.421908977065426</v>
      </c>
      <c r="M30" s="20">
        <v>0.9355236604649794</v>
      </c>
      <c r="N30" s="20">
        <v>50.34258</v>
      </c>
      <c r="O30" s="20">
        <v>5.9300656</v>
      </c>
      <c r="P30" s="12">
        <v>-0.10715</v>
      </c>
      <c r="Q30" s="12">
        <v>0.254</v>
      </c>
      <c r="R30" s="12">
        <v>1.123443335577257</v>
      </c>
      <c r="S30" s="11">
        <v>50.33356514283881</v>
      </c>
      <c r="T30" s="9" t="s">
        <v>101</v>
      </c>
    </row>
    <row r="31" spans="1:20" x14ac:dyDescent="0.25">
      <c r="A31" s="11">
        <v>27</v>
      </c>
      <c r="B31" s="9" t="s">
        <v>134</v>
      </c>
      <c r="C31" s="9" t="s">
        <v>135</v>
      </c>
      <c r="D31" s="9" t="s">
        <v>32</v>
      </c>
      <c r="E31" s="10">
        <v>170.1799926757812</v>
      </c>
      <c r="F31" s="17">
        <v>0.4946433876191874</v>
      </c>
      <c r="G31" s="20">
        <v>-2.045758834681303</v>
      </c>
      <c r="H31" s="20">
        <v>1.763423185417039</v>
      </c>
      <c r="I31" s="20">
        <v>0.2278103986420596</v>
      </c>
      <c r="J31" s="20">
        <v>1.855770303469042</v>
      </c>
      <c r="K31" s="20">
        <v>0.4392541638271436</v>
      </c>
      <c r="L31" s="20">
        <v>-0.5582201727433476</v>
      </c>
      <c r="M31" s="20">
        <v>-0.2249644000559904</v>
      </c>
      <c r="N31" s="20">
        <v>55.343975</v>
      </c>
      <c r="O31" s="20">
        <v>73.826866</v>
      </c>
      <c r="P31" s="12">
        <v>1.17442</v>
      </c>
      <c r="Q31" s="12">
        <v>0.256</v>
      </c>
      <c r="R31" s="12">
        <v>1.039549229343397</v>
      </c>
      <c r="S31" s="11">
        <v>59.88350413991242</v>
      </c>
      <c r="T31" s="9" t="s">
        <v>101</v>
      </c>
    </row>
    <row r="32" spans="1:20" x14ac:dyDescent="0.25">
      <c r="A32" s="11">
        <v>28</v>
      </c>
      <c r="B32" s="9" t="s">
        <v>136</v>
      </c>
      <c r="C32" s="9" t="s">
        <v>137</v>
      </c>
      <c r="D32" s="9" t="s">
        <v>57</v>
      </c>
      <c r="E32" s="10">
        <v>217.3600006103516</v>
      </c>
      <c r="F32" s="17">
        <v>0.4914478888561534</v>
      </c>
      <c r="G32" s="20">
        <v>0.2268704470519779</v>
      </c>
      <c r="H32" s="20">
        <v>0.02833393151366955</v>
      </c>
      <c r="I32" s="20">
        <v>-0.8973367206108911</v>
      </c>
      <c r="J32" s="20">
        <v>0.5470984017590618</v>
      </c>
      <c r="K32" s="20">
        <v>3.378325356243283</v>
      </c>
      <c r="L32" s="20">
        <v>-0.1193469719306684</v>
      </c>
      <c r="M32" s="20">
        <v>-0.3319536694421627</v>
      </c>
      <c r="N32" s="20">
        <v>38.63879</v>
      </c>
      <c r="O32" s="20">
        <v>1.7016691</v>
      </c>
      <c r="P32" s="12">
        <v>0.04575</v>
      </c>
      <c r="Q32" s="12">
        <v>0.034</v>
      </c>
      <c r="R32" s="12">
        <v>0.1972459209950259</v>
      </c>
      <c r="S32" s="11">
        <v>53.41396335420527</v>
      </c>
      <c r="T32" s="9" t="s">
        <v>101</v>
      </c>
    </row>
    <row r="33" spans="1:20" x14ac:dyDescent="0.25">
      <c r="A33" s="11">
        <v>29</v>
      </c>
      <c r="B33" s="9" t="s">
        <v>138</v>
      </c>
      <c r="C33" s="9" t="s">
        <v>139</v>
      </c>
      <c r="D33" s="9" t="s">
        <v>42</v>
      </c>
      <c r="E33" s="10">
        <v>212.1699981689453</v>
      </c>
      <c r="F33" s="17">
        <v>0.4645998663918035</v>
      </c>
      <c r="G33" s="20">
        <v>0.5000449645463003</v>
      </c>
      <c r="H33" s="20">
        <v>-0.3299402274497991</v>
      </c>
      <c r="I33" s="20">
        <v>2.306272783126228</v>
      </c>
      <c r="J33" s="20">
        <v>0.7195024761276629</v>
      </c>
      <c r="K33" s="20">
        <v>-0.165103659204425</v>
      </c>
      <c r="L33" s="20">
        <v>0.835800977246664</v>
      </c>
      <c r="M33" s="20">
        <v>-0.617892893946917</v>
      </c>
      <c r="N33" s="20">
        <v>20.62235</v>
      </c>
      <c r="O33" s="20">
        <v>2.2113636</v>
      </c>
      <c r="P33" s="12">
        <v>0.12231</v>
      </c>
      <c r="Q33" s="12">
        <v>0.535</v>
      </c>
      <c r="R33" s="12">
        <v>0.0973574364996117</v>
      </c>
      <c r="S33" s="11">
        <v>65.04431477195874</v>
      </c>
      <c r="T33" s="9" t="s">
        <v>101</v>
      </c>
    </row>
    <row r="34" spans="1:20" x14ac:dyDescent="0.25">
      <c r="A34" s="11">
        <v>30</v>
      </c>
      <c r="B34" s="9" t="s">
        <v>140</v>
      </c>
      <c r="C34" s="9" t="s">
        <v>141</v>
      </c>
      <c r="D34" s="9" t="s">
        <v>32</v>
      </c>
      <c r="E34" s="10">
        <v>31.40999984741211</v>
      </c>
      <c r="F34" s="17">
        <v>0.4615724621097789</v>
      </c>
      <c r="G34" s="20">
        <v>0.5071505500348842</v>
      </c>
      <c r="H34" s="20">
        <v>0.7469802265893087</v>
      </c>
      <c r="I34" s="20">
        <v>-0.1877648684685418</v>
      </c>
      <c r="J34" s="20">
        <v>1.241815959815756</v>
      </c>
      <c r="K34" s="20">
        <v>-0.4675410642287771</v>
      </c>
      <c r="L34" s="20">
        <v>0.1846712921650581</v>
      </c>
      <c r="M34" s="20">
        <v>-0.7246890508889072</v>
      </c>
      <c r="N34" s="20">
        <v>17.695906</v>
      </c>
      <c r="O34" s="20">
        <v>6.8245378</v>
      </c>
      <c r="P34" s="12">
        <v>0.41944</v>
      </c>
      <c r="Q34" s="12">
        <v>0.063</v>
      </c>
      <c r="R34" s="12">
        <v>0.5337299998100054</v>
      </c>
      <c r="S34" s="11">
        <v>64.38687725087902</v>
      </c>
      <c r="T34" s="9" t="s">
        <v>101</v>
      </c>
    </row>
    <row r="35" spans="1:20" x14ac:dyDescent="0.25">
      <c r="A35" s="11">
        <v>31</v>
      </c>
      <c r="B35" s="9" t="s">
        <v>142</v>
      </c>
      <c r="C35" s="9" t="s">
        <v>143</v>
      </c>
      <c r="D35" s="9" t="s">
        <v>57</v>
      </c>
      <c r="E35" s="10">
        <v>64.09999847412109</v>
      </c>
      <c r="F35" s="17">
        <v>0.4464677891271827</v>
      </c>
      <c r="G35" s="20">
        <v>0.5011052908132025</v>
      </c>
      <c r="H35" s="20">
        <v>0.6560191381210976</v>
      </c>
      <c r="I35" s="20">
        <v>0.2251020255328333</v>
      </c>
      <c r="J35" s="20">
        <v>0.4190087502398802</v>
      </c>
      <c r="K35" s="20">
        <v>0.8120018031819431</v>
      </c>
      <c r="L35" s="20">
        <v>0.5531957554170509</v>
      </c>
      <c r="M35" s="20">
        <v>-0.344237683133413</v>
      </c>
      <c r="N35" s="20">
        <v>14.017621</v>
      </c>
      <c r="O35" s="20">
        <v>5.8251715</v>
      </c>
      <c r="P35" s="12">
        <v>0.46598998</v>
      </c>
      <c r="Q35" s="12">
        <v>0.057</v>
      </c>
      <c r="R35" s="12">
        <v>0.1085302727958339</v>
      </c>
      <c r="S35" s="11">
        <v>44.99825693028483</v>
      </c>
      <c r="T35" s="9" t="s">
        <v>101</v>
      </c>
    </row>
    <row r="36" spans="1:20" x14ac:dyDescent="0.25">
      <c r="A36" s="11">
        <v>32</v>
      </c>
      <c r="B36" s="9" t="s">
        <v>9</v>
      </c>
      <c r="C36" s="9" t="s">
        <v>50</v>
      </c>
      <c r="D36" s="9" t="s">
        <v>32</v>
      </c>
      <c r="E36" s="10">
        <v>210.9600067138672</v>
      </c>
      <c r="F36" s="17">
        <v>0.4061175674949531</v>
      </c>
      <c r="G36" s="20">
        <v>-1.171878848863184</v>
      </c>
      <c r="H36" s="20">
        <v>2.368118728722743</v>
      </c>
      <c r="I36" s="20">
        <v>2.422793453764177</v>
      </c>
      <c r="J36" s="20">
        <v>0.14840354654265</v>
      </c>
      <c r="K36" s="20">
        <v>-0.3036561797967777</v>
      </c>
      <c r="L36" s="20">
        <v>-0.2158843142054807</v>
      </c>
      <c r="M36" s="20">
        <v>0.009351934792708835</v>
      </c>
      <c r="N36" s="20">
        <v>27.631645</v>
      </c>
      <c r="O36" s="20">
        <v>23.019087</v>
      </c>
      <c r="P36" s="12">
        <v>1.17211</v>
      </c>
      <c r="Q36" s="12">
        <v>1.059</v>
      </c>
      <c r="R36" s="12">
        <v>0.17304963335504</v>
      </c>
      <c r="S36" s="11">
        <v>44.06645392019853</v>
      </c>
      <c r="T36" s="9" t="s">
        <v>101</v>
      </c>
    </row>
    <row r="37" spans="1:20" x14ac:dyDescent="0.25">
      <c r="A37" s="11">
        <v>33</v>
      </c>
      <c r="B37" s="9" t="s">
        <v>144</v>
      </c>
      <c r="C37" s="9" t="s">
        <v>145</v>
      </c>
      <c r="D37" s="9" t="s">
        <v>42</v>
      </c>
      <c r="E37" s="10">
        <v>148.5399932861328</v>
      </c>
      <c r="F37" s="17">
        <v>0.4059299958043636</v>
      </c>
      <c r="G37" s="20">
        <v>0.6042209697867998</v>
      </c>
      <c r="H37" s="20">
        <v>0.4636940000902633</v>
      </c>
      <c r="I37" s="20">
        <v>1.421647839457134</v>
      </c>
      <c r="J37" s="20">
        <v>0.4863464245768306</v>
      </c>
      <c r="K37" s="20">
        <v>-0.5135529087538494</v>
      </c>
      <c r="L37" s="20">
        <v>0.3291780617737359</v>
      </c>
      <c r="M37" s="20">
        <v>-0.290173309330341</v>
      </c>
      <c r="N37" s="20">
        <v>11.467704</v>
      </c>
      <c r="O37" s="20">
        <v>2.4302394</v>
      </c>
      <c r="P37" s="12">
        <v>0.22507</v>
      </c>
      <c r="Q37" s="12">
        <v>0.587</v>
      </c>
      <c r="R37" s="12">
        <v>0.1287743438540248</v>
      </c>
      <c r="S37" s="11">
        <v>56.75913156885876</v>
      </c>
      <c r="T37" s="9" t="s">
        <v>101</v>
      </c>
    </row>
    <row r="38" spans="1:20" x14ac:dyDescent="0.25">
      <c r="A38" s="11">
        <v>34</v>
      </c>
      <c r="B38" s="9" t="s">
        <v>146</v>
      </c>
      <c r="C38" s="9" t="s">
        <v>147</v>
      </c>
      <c r="D38" s="9" t="s">
        <v>53</v>
      </c>
      <c r="E38" s="10">
        <v>206.5800018310547</v>
      </c>
      <c r="F38" s="17">
        <v>0.3933324678735144</v>
      </c>
      <c r="G38" s="20">
        <v>0.3472624676162839</v>
      </c>
      <c r="H38" s="20">
        <v>0.7723653122279558</v>
      </c>
      <c r="I38" s="20">
        <v>0.38054810430196</v>
      </c>
      <c r="J38" s="20">
        <v>0.1945124556594171</v>
      </c>
      <c r="K38" s="20">
        <v>0.3053545263890117</v>
      </c>
      <c r="L38" s="20">
        <v>0.534156262049035</v>
      </c>
      <c r="M38" s="20">
        <v>0.5268288466058211</v>
      </c>
      <c r="N38" s="20">
        <v>17.330639</v>
      </c>
      <c r="O38" s="20">
        <v>3.1619003</v>
      </c>
      <c r="P38" s="12">
        <v>0.17969999</v>
      </c>
      <c r="Q38" s="12">
        <v>0.28</v>
      </c>
      <c r="R38" s="12">
        <v>0.3484435320974817</v>
      </c>
      <c r="S38" s="11">
        <v>39.02348633706364</v>
      </c>
      <c r="T38" s="9" t="s">
        <v>101</v>
      </c>
    </row>
    <row r="39" spans="1:20" x14ac:dyDescent="0.25">
      <c r="A39" s="11">
        <v>35</v>
      </c>
      <c r="B39" s="9" t="s">
        <v>148</v>
      </c>
      <c r="C39" s="9" t="s">
        <v>149</v>
      </c>
      <c r="D39" s="9" t="s">
        <v>42</v>
      </c>
      <c r="E39" s="10">
        <v>205.7200012207031</v>
      </c>
      <c r="F39" s="17">
        <v>0.3920595159076784</v>
      </c>
      <c r="G39" s="20">
        <v>0.5627498454653113</v>
      </c>
      <c r="H39" s="20">
        <v>-0.0477566135254233</v>
      </c>
      <c r="I39" s="20">
        <v>1.594428774498311</v>
      </c>
      <c r="J39" s="20">
        <v>0.550469595109168</v>
      </c>
      <c r="K39" s="20">
        <v>-0.1919869840954785</v>
      </c>
      <c r="L39" s="20">
        <v>0.2937031583342088</v>
      </c>
      <c r="M39" s="20">
        <v>-0.2595238187898328</v>
      </c>
      <c r="N39" s="20">
        <v>39.041904</v>
      </c>
      <c r="O39" s="20">
        <v>1.5173635</v>
      </c>
      <c r="P39" s="12">
        <v>0.034930002</v>
      </c>
      <c r="Q39" s="12">
        <v>0.525</v>
      </c>
      <c r="R39" s="12">
        <v>0.1404870673104863</v>
      </c>
      <c r="S39" s="11">
        <v>57.25834194063431</v>
      </c>
      <c r="T39" s="9" t="s">
        <v>101</v>
      </c>
    </row>
    <row r="40" spans="1:20" x14ac:dyDescent="0.25">
      <c r="A40" s="11">
        <v>36</v>
      </c>
      <c r="B40" s="9" t="s">
        <v>150</v>
      </c>
      <c r="C40" s="9" t="s">
        <v>151</v>
      </c>
      <c r="D40" s="9" t="s">
        <v>55</v>
      </c>
      <c r="E40" s="10">
        <v>30.55999946594238</v>
      </c>
      <c r="F40" s="17">
        <v>0.3900271290579442</v>
      </c>
      <c r="G40" s="20">
        <v>0.4737570391617266</v>
      </c>
      <c r="H40" s="20">
        <v>-0.2868604961518937</v>
      </c>
      <c r="I40" s="20">
        <v>-0.7009083349924576</v>
      </c>
      <c r="J40" s="20">
        <v>0.697337619245387</v>
      </c>
      <c r="K40" s="20">
        <v>2.026921293450708</v>
      </c>
      <c r="L40" s="20">
        <v>0.5468694977199896</v>
      </c>
      <c r="M40" s="20">
        <v>-0.8063079494814781</v>
      </c>
      <c r="N40" s="20">
        <v>28.582525</v>
      </c>
      <c r="O40" s="20">
        <v>1.876474</v>
      </c>
      <c r="P40" s="12">
        <v>0.07979</v>
      </c>
      <c r="Q40" s="12">
        <v>0.108</v>
      </c>
      <c r="R40" s="12">
        <v>0.2937901027918621</v>
      </c>
      <c r="S40" s="11">
        <v>59.65608369551476</v>
      </c>
      <c r="T40" s="9" t="s">
        <v>101</v>
      </c>
    </row>
    <row r="41" spans="1:20" x14ac:dyDescent="0.25">
      <c r="A41" s="11">
        <v>37</v>
      </c>
      <c r="B41" s="9" t="s">
        <v>152</v>
      </c>
      <c r="C41" s="9" t="s">
        <v>153</v>
      </c>
      <c r="D41" s="9" t="s">
        <v>42</v>
      </c>
      <c r="E41" s="10">
        <v>136.6699981689453</v>
      </c>
      <c r="F41" s="17">
        <v>0.3721303453043072</v>
      </c>
      <c r="G41" s="20">
        <v>0.4918102935471612</v>
      </c>
      <c r="H41" s="20">
        <v>-0.1401007530318513</v>
      </c>
      <c r="I41" s="20">
        <v>0.7942683123659047</v>
      </c>
      <c r="J41" s="20">
        <v>0.8963141260411401</v>
      </c>
      <c r="K41" s="20">
        <v>-0.09169150277116346</v>
      </c>
      <c r="L41" s="20">
        <v>0.5579982189079566</v>
      </c>
      <c r="M41" s="20">
        <v>-0.8097171112494491</v>
      </c>
      <c r="N41" s="20">
        <v>18.192053</v>
      </c>
      <c r="O41" s="20">
        <v>2.5249555</v>
      </c>
      <c r="P41" s="12">
        <v>0.1418</v>
      </c>
      <c r="Q41" s="12">
        <v>0.355</v>
      </c>
      <c r="R41" s="12">
        <v>0.1371238456011952</v>
      </c>
      <c r="S41" s="11">
        <v>65.58973752517147</v>
      </c>
      <c r="T41" s="9" t="s">
        <v>101</v>
      </c>
    </row>
    <row r="42" spans="1:20" x14ac:dyDescent="0.25">
      <c r="A42" s="11">
        <v>38</v>
      </c>
      <c r="B42" s="9" t="s">
        <v>154</v>
      </c>
      <c r="C42" s="9" t="s">
        <v>155</v>
      </c>
      <c r="D42" s="9" t="s">
        <v>57</v>
      </c>
      <c r="E42" s="10">
        <v>793.739990234375</v>
      </c>
      <c r="F42" s="17">
        <v>0.368973775574238</v>
      </c>
      <c r="G42" s="20">
        <v>0.1788464932883841</v>
      </c>
      <c r="H42" s="20">
        <v>0.1776972721221774</v>
      </c>
      <c r="I42" s="20">
        <v>-0.2413594266157033</v>
      </c>
      <c r="J42" s="20">
        <v>0.63685502750477</v>
      </c>
      <c r="K42" s="20">
        <v>1.445310899173108</v>
      </c>
      <c r="L42" s="20">
        <v>0.454061519965289</v>
      </c>
      <c r="M42" s="20">
        <v>-0.7406465180721314</v>
      </c>
      <c r="N42" s="20">
        <v>19.343811</v>
      </c>
      <c r="O42" s="20">
        <v>2.4722013</v>
      </c>
      <c r="P42" s="12">
        <v>0.14043</v>
      </c>
      <c r="Q42" s="12">
        <v>0.167</v>
      </c>
      <c r="R42" s="12">
        <v>0.06715712135397278</v>
      </c>
      <c r="S42" s="11">
        <v>49.68973050061668</v>
      </c>
      <c r="T42" s="9" t="s">
        <v>101</v>
      </c>
    </row>
    <row r="43" spans="1:20" x14ac:dyDescent="0.25">
      <c r="A43" s="11">
        <v>39</v>
      </c>
      <c r="B43" s="9" t="s">
        <v>156</v>
      </c>
      <c r="C43" s="9" t="s">
        <v>157</v>
      </c>
      <c r="D43" s="9" t="s">
        <v>115</v>
      </c>
      <c r="E43" s="10">
        <v>94.83000183105469</v>
      </c>
      <c r="F43" s="17">
        <v>0.3631360821217977</v>
      </c>
      <c r="G43" s="20">
        <v>0.6594637779990824</v>
      </c>
      <c r="H43" s="20">
        <v>-0.4971404169201537</v>
      </c>
      <c r="I43" s="20">
        <v>-0.2300784505986128</v>
      </c>
      <c r="J43" s="20">
        <v>1.27602183415249</v>
      </c>
      <c r="K43" s="20">
        <v>-0.2845276601627589</v>
      </c>
      <c r="L43" s="20">
        <v>0.0885615046222254</v>
      </c>
      <c r="M43" s="20">
        <v>-0.08742509318125991</v>
      </c>
      <c r="N43" s="20">
        <v>15.108153</v>
      </c>
      <c r="O43" s="20">
        <v>6.0021152</v>
      </c>
      <c r="P43" s="12">
        <v>0.43126</v>
      </c>
      <c r="Q43" s="12">
        <v>0.036</v>
      </c>
      <c r="R43" s="12">
        <v>0.5586363090029245</v>
      </c>
      <c r="S43" s="11">
        <v>66.09833206083282</v>
      </c>
      <c r="T43" s="9" t="s">
        <v>101</v>
      </c>
    </row>
    <row r="44" spans="1:20" x14ac:dyDescent="0.25">
      <c r="A44" s="11">
        <v>40</v>
      </c>
      <c r="B44" s="9" t="s">
        <v>158</v>
      </c>
      <c r="C44" s="9" t="s">
        <v>159</v>
      </c>
      <c r="D44" s="9" t="s">
        <v>53</v>
      </c>
      <c r="E44" s="10">
        <v>119.5</v>
      </c>
      <c r="F44" s="17">
        <v>0.354802417641556</v>
      </c>
      <c r="G44" s="20">
        <v>1.17687233316855</v>
      </c>
      <c r="H44" s="20">
        <v>-0.6497553567411484</v>
      </c>
      <c r="I44" s="20">
        <v>0.1405562026344188</v>
      </c>
      <c r="J44" s="20">
        <v>0.5044582089342483</v>
      </c>
      <c r="K44" s="20">
        <v>0.2040250710304253</v>
      </c>
      <c r="L44" s="20">
        <v>1.038566297027085</v>
      </c>
      <c r="M44" s="20">
        <v>-0.06579768173989665</v>
      </c>
      <c r="N44" s="20">
        <v>10.810517</v>
      </c>
      <c r="O44" s="20">
        <v>1.3035825</v>
      </c>
      <c r="P44" s="12">
        <v>0.12011</v>
      </c>
      <c r="Q44" s="12">
        <v>0.141</v>
      </c>
      <c r="R44" s="12">
        <v>0.3318159648837586</v>
      </c>
      <c r="S44" s="11">
        <v>50.06186264628786</v>
      </c>
      <c r="T44" s="9" t="s">
        <v>101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160</v>
      </c>
    </row>
    <row r="2" spans="1:3" x14ac:dyDescent="0.25">
      <c r="A2" s="2" t="s">
        <v>161</v>
      </c>
    </row>
    <row r="4" spans="1:3" x14ac:dyDescent="0.25">
      <c r="A4" s="8" t="s">
        <v>162</v>
      </c>
    </row>
    <row r="5" spans="1:3" ht="30" customHeight="1" x14ac:dyDescent="0.25">
      <c r="A5" s="15" t="s">
        <v>163</v>
      </c>
      <c r="B5" s="15" t="s">
        <v>164</v>
      </c>
      <c r="C5" s="15" t="s">
        <v>165</v>
      </c>
    </row>
    <row r="6" spans="1:3" x14ac:dyDescent="0.25">
      <c r="A6" s="9" t="s">
        <v>166</v>
      </c>
      <c r="B6" s="12">
        <v>0.18</v>
      </c>
      <c r="C6" s="9" t="s">
        <v>167</v>
      </c>
    </row>
    <row r="7" spans="1:3" x14ac:dyDescent="0.25">
      <c r="A7" s="9" t="s">
        <v>168</v>
      </c>
      <c r="B7" s="12">
        <v>0.16</v>
      </c>
      <c r="C7" s="9" t="s">
        <v>169</v>
      </c>
    </row>
    <row r="8" spans="1:3" x14ac:dyDescent="0.25">
      <c r="A8" s="9" t="s">
        <v>170</v>
      </c>
      <c r="B8" s="12">
        <v>0.1</v>
      </c>
      <c r="C8" s="9" t="s">
        <v>171</v>
      </c>
    </row>
    <row r="9" spans="1:3" x14ac:dyDescent="0.25">
      <c r="A9" s="9" t="s">
        <v>172</v>
      </c>
      <c r="B9" s="12">
        <v>0.3</v>
      </c>
      <c r="C9" s="9" t="s">
        <v>173</v>
      </c>
    </row>
    <row r="10" spans="1:3" x14ac:dyDescent="0.25">
      <c r="A10" s="9" t="s">
        <v>174</v>
      </c>
      <c r="B10" s="12">
        <v>0.12</v>
      </c>
      <c r="C10" s="9" t="s">
        <v>175</v>
      </c>
    </row>
    <row r="11" spans="1:3" x14ac:dyDescent="0.25">
      <c r="A11" s="9" t="s">
        <v>176</v>
      </c>
      <c r="B11" s="12">
        <v>0.06</v>
      </c>
      <c r="C11" s="9" t="s">
        <v>177</v>
      </c>
    </row>
    <row r="12" spans="1:3" x14ac:dyDescent="0.25">
      <c r="A12" s="9" t="s">
        <v>178</v>
      </c>
      <c r="B12" s="12">
        <v>0.08</v>
      </c>
      <c r="C12" s="9" t="s">
        <v>179</v>
      </c>
    </row>
    <row r="13" spans="1:3" x14ac:dyDescent="0.25">
      <c r="A13" s="13" t="s">
        <v>180</v>
      </c>
      <c r="B13" s="12">
        <f>SUM(B6:B12)</f>
        <v>0.9999999999999999</v>
      </c>
    </row>
    <row r="15" spans="1:3" x14ac:dyDescent="0.25">
      <c r="A15" s="8" t="s">
        <v>181</v>
      </c>
    </row>
    <row r="16" spans="1:3" x14ac:dyDescent="0.25">
      <c r="A16" s="14" t="s">
        <v>182</v>
      </c>
    </row>
    <row r="18" spans="1:7" x14ac:dyDescent="0.25">
      <c r="A18" s="8" t="s">
        <v>183</v>
      </c>
    </row>
    <row r="19" spans="1:7" x14ac:dyDescent="0.25">
      <c r="A19" s="14" t="s">
        <v>184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210</v>
      </c>
    </row>
    <row r="3" spans="1:2">
      <c r="A3" s="8" t="s">
        <v>211</v>
      </c>
    </row>
    <row r="4" spans="1:2">
      <c r="A4" s="9" t="s">
        <v>212</v>
      </c>
      <c r="B4" s="9" t="s">
        <v>213</v>
      </c>
    </row>
    <row r="5" spans="1:2">
      <c r="A5" s="9" t="s">
        <v>214</v>
      </c>
      <c r="B5" s="9" t="s">
        <v>51</v>
      </c>
    </row>
    <row r="6" spans="1:2">
      <c r="A6" s="9" t="s">
        <v>215</v>
      </c>
      <c r="B6" s="9" t="s">
        <v>216</v>
      </c>
    </row>
    <row r="7" spans="1:2">
      <c r="A7" s="9" t="s">
        <v>217</v>
      </c>
      <c r="B7" s="9" t="s">
        <v>218</v>
      </c>
    </row>
    <row r="8" spans="1:2">
      <c r="A8" s="9" t="s">
        <v>219</v>
      </c>
      <c r="B8" s="9" t="s">
        <v>102</v>
      </c>
    </row>
    <row r="9" spans="1:2">
      <c r="A9" s="9" t="s">
        <v>220</v>
      </c>
      <c r="B9" s="9" t="s">
        <v>34</v>
      </c>
    </row>
    <row r="10" spans="1:2">
      <c r="A10" s="9" t="s">
        <v>221</v>
      </c>
      <c r="B10" s="9" t="s">
        <v>222</v>
      </c>
    </row>
    <row r="11" spans="1:2">
      <c r="A11" s="9" t="s">
        <v>223</v>
      </c>
      <c r="B11" s="9" t="s">
        <v>224</v>
      </c>
    </row>
    <row r="12" spans="1:2">
      <c r="A12" s="9" t="s">
        <v>225</v>
      </c>
      <c r="B12" s="9" t="s">
        <v>226</v>
      </c>
    </row>
    <row r="13" spans="1:2">
      <c r="A13" s="9" t="s">
        <v>227</v>
      </c>
      <c r="B13" s="9" t="s">
        <v>228</v>
      </c>
    </row>
    <row r="14" spans="1:2">
      <c r="A14" s="9" t="s">
        <v>229</v>
      </c>
      <c r="B14" s="9" t="s">
        <v>224</v>
      </c>
    </row>
    <row r="16" spans="1:2">
      <c r="A16" s="8" t="s">
        <v>230</v>
      </c>
    </row>
    <row r="17" spans="1:2" ht="30" customHeight="1">
      <c r="A17" s="13" t="s">
        <v>231</v>
      </c>
      <c r="B17" s="14" t="s">
        <v>232</v>
      </c>
    </row>
    <row r="18" spans="1:2" ht="30" customHeight="1">
      <c r="A18" s="13" t="s">
        <v>233</v>
      </c>
      <c r="B18" s="14" t="s">
        <v>234</v>
      </c>
    </row>
    <row r="19" spans="1:2" ht="30" customHeight="1">
      <c r="A19" s="13" t="s">
        <v>235</v>
      </c>
      <c r="B19" s="14" t="s">
        <v>236</v>
      </c>
    </row>
    <row r="20" spans="1:2" ht="30" customHeight="1">
      <c r="A20" s="13" t="s">
        <v>237</v>
      </c>
      <c r="B20" s="14" t="s">
        <v>238</v>
      </c>
    </row>
    <row r="22" spans="1:2">
      <c r="A22" s="8" t="s">
        <v>239</v>
      </c>
    </row>
    <row r="23" spans="1:2" ht="32" customHeight="1">
      <c r="A23" s="21" t="s">
        <v>240</v>
      </c>
      <c r="B23" s="21"/>
    </row>
    <row r="24" spans="1:2" ht="32" customHeight="1">
      <c r="A24" s="21" t="s">
        <v>241</v>
      </c>
      <c r="B24" s="21"/>
    </row>
    <row r="25" spans="1:2" ht="32" customHeight="1">
      <c r="A25" s="21" t="s">
        <v>242</v>
      </c>
      <c r="B25" s="21"/>
    </row>
    <row r="26" spans="1:2" ht="32" customHeight="1">
      <c r="A26" s="21" t="s">
        <v>243</v>
      </c>
      <c r="B26" s="21"/>
    </row>
    <row r="27" spans="1:2" ht="32" customHeight="1">
      <c r="A27" s="21" t="s">
        <v>244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13"/>
  <sheetViews>
    <sheetView workbookViewId="0"/>
  </sheetViews>
  <sheetFormatPr defaultRowHeight="15"/>
  <sheetData>
    <row r="1" spans="1:61">
      <c r="A1" t="s">
        <v>0</v>
      </c>
      <c r="B1">
        <v>408.8244323730469</v>
      </c>
      <c r="C1">
        <v>418.0192260742188</v>
      </c>
      <c r="D1">
        <v>427.0742797851562</v>
      </c>
      <c r="E1">
        <v>433.3439025878906</v>
      </c>
      <c r="F1">
        <v>408.7745361328125</v>
      </c>
      <c r="G1">
        <v>398.8309326171875</v>
      </c>
      <c r="H1">
        <v>413.9259948730469</v>
      </c>
      <c r="I1">
        <v>430.7481994628906</v>
      </c>
      <c r="J1">
        <v>424.5484619140625</v>
      </c>
      <c r="K1">
        <v>393.6694946289062</v>
      </c>
      <c r="L1">
        <v>411.1206359863281</v>
      </c>
      <c r="M1">
        <v>416.5915832519531</v>
      </c>
      <c r="N1">
        <v>431.2573547363281</v>
      </c>
      <c r="O1">
        <v>449.4772644042969</v>
      </c>
      <c r="P1">
        <v>434.2524108886719</v>
      </c>
      <c r="Q1">
        <v>426.4053649902344</v>
      </c>
      <c r="R1">
        <v>456.7851867675781</v>
      </c>
      <c r="S1">
        <v>411.9991760253906</v>
      </c>
      <c r="T1">
        <v>390.7343444824219</v>
      </c>
      <c r="U1">
        <v>395.6861267089844</v>
      </c>
      <c r="V1">
        <v>381.25</v>
      </c>
      <c r="W1">
        <v>404.1499938964844</v>
      </c>
      <c r="X1">
        <v>441.7999877929688</v>
      </c>
      <c r="Y1">
        <v>439.3399963378906</v>
      </c>
      <c r="Z1">
        <v>437.5</v>
      </c>
      <c r="AA1">
        <v>426.9100036621094</v>
      </c>
      <c r="AB1">
        <v>392.1000061035156</v>
      </c>
      <c r="AC1">
        <v>369.6400146484375</v>
      </c>
      <c r="AD1">
        <v>404.8099975585938</v>
      </c>
      <c r="AE1">
        <v>405.3699951171875</v>
      </c>
      <c r="AF1">
        <v>429.0199890136719</v>
      </c>
      <c r="AG1">
        <v>467.2699890136719</v>
      </c>
      <c r="AH1">
        <v>462.7000122070312</v>
      </c>
      <c r="AI1">
        <v>437.6499938964844</v>
      </c>
      <c r="AJ1">
        <v>453.7699890136719</v>
      </c>
      <c r="AK1">
        <v>457.8800048828125</v>
      </c>
      <c r="AL1">
        <v>440.9700012207031</v>
      </c>
      <c r="AM1">
        <v>484.5</v>
      </c>
      <c r="AN1">
        <v>494.510009765625</v>
      </c>
      <c r="AO1">
        <v>490.8099975585938</v>
      </c>
      <c r="AP1">
        <v>479.8099975585938</v>
      </c>
      <c r="AQ1">
        <v>468.6499938964844</v>
      </c>
      <c r="AR1">
        <v>437.5499877929688</v>
      </c>
      <c r="AS1">
        <v>434.7799987792969</v>
      </c>
      <c r="AT1">
        <v>442.0799865722656</v>
      </c>
      <c r="AU1">
        <v>433.1900024414062</v>
      </c>
      <c r="AV1">
        <v>451.5</v>
      </c>
      <c r="AW1">
        <v>463.8200073242188</v>
      </c>
      <c r="AX1">
        <v>472.260009765625</v>
      </c>
      <c r="AY1">
        <v>456.239990234375</v>
      </c>
      <c r="AZ1">
        <v>456.010009765625</v>
      </c>
      <c r="BA1">
        <v>425</v>
      </c>
      <c r="BB1">
        <v>492.2000122070312</v>
      </c>
      <c r="BC1">
        <v>516.3900146484375</v>
      </c>
      <c r="BD1">
        <v>524.1400146484375</v>
      </c>
      <c r="BE1">
        <v>533.8800048828125</v>
      </c>
      <c r="BF1">
        <v>535.25</v>
      </c>
      <c r="BG1">
        <v>506.6199951171875</v>
      </c>
      <c r="BH1">
        <v>567.2899780273438</v>
      </c>
      <c r="BI1">
        <v>534.280029296875</v>
      </c>
    </row>
    <row r="2" spans="1:61">
      <c r="A2" t="s">
        <v>1</v>
      </c>
      <c r="B2">
        <v>1133.815551757812</v>
      </c>
      <c r="C2">
        <v>1211.193725585938</v>
      </c>
      <c r="D2">
        <v>1051.608276367188</v>
      </c>
      <c r="E2">
        <v>1048.348754882812</v>
      </c>
      <c r="F2">
        <v>1213.373413085938</v>
      </c>
      <c r="G2">
        <v>1132.155883789062</v>
      </c>
      <c r="H2">
        <v>1145.103881835938</v>
      </c>
      <c r="I2">
        <v>1154.112548828125</v>
      </c>
      <c r="J2">
        <v>1032.121337890625</v>
      </c>
      <c r="K2">
        <v>975.4099731445312</v>
      </c>
      <c r="L2">
        <v>984.75</v>
      </c>
      <c r="M2">
        <v>938.3800048828125</v>
      </c>
      <c r="N2">
        <v>948.7999877929688</v>
      </c>
      <c r="O2">
        <v>991.6400146484375</v>
      </c>
      <c r="P2">
        <v>979.2999877929688</v>
      </c>
      <c r="Q2">
        <v>937</v>
      </c>
      <c r="R2">
        <v>983.1199951171875</v>
      </c>
      <c r="S2">
        <v>904.280029296875</v>
      </c>
      <c r="T2">
        <v>853.2000122070312</v>
      </c>
      <c r="U2">
        <v>848.9500122070312</v>
      </c>
      <c r="V2">
        <v>865.4600219726562</v>
      </c>
      <c r="W2">
        <v>970.8200073242188</v>
      </c>
      <c r="X2">
        <v>959.47998046875</v>
      </c>
      <c r="Y2">
        <v>990.2100219726562</v>
      </c>
      <c r="Z2">
        <v>920.9500122070312</v>
      </c>
      <c r="AA2">
        <v>900.2000122070312</v>
      </c>
      <c r="AB2">
        <v>820.530029296875</v>
      </c>
      <c r="AC2">
        <v>739</v>
      </c>
      <c r="AD2">
        <v>874.6599731445312</v>
      </c>
      <c r="AE2">
        <v>823.030029296875</v>
      </c>
      <c r="AF2">
        <v>829.5</v>
      </c>
      <c r="AG2">
        <v>892.6699829101562</v>
      </c>
      <c r="AH2">
        <v>893.1900024414062</v>
      </c>
      <c r="AI2">
        <v>881.469970703125</v>
      </c>
      <c r="AJ2">
        <v>877.5700073242188</v>
      </c>
      <c r="AK2">
        <v>861</v>
      </c>
      <c r="AL2">
        <v>868.52001953125</v>
      </c>
      <c r="AM2">
        <v>911.2899780273438</v>
      </c>
      <c r="AN2">
        <v>949.8300170898438</v>
      </c>
      <c r="AO2">
        <v>971.6599731445312</v>
      </c>
      <c r="AP2">
        <v>1011.75</v>
      </c>
      <c r="AQ2">
        <v>940.760009765625</v>
      </c>
      <c r="AR2">
        <v>937.1099853515625</v>
      </c>
      <c r="AS2">
        <v>974.3300170898438</v>
      </c>
      <c r="AT2">
        <v>966.780029296875</v>
      </c>
      <c r="AU2">
        <v>910.4299926757812</v>
      </c>
      <c r="AV2">
        <v>932.969970703125</v>
      </c>
      <c r="AW2">
        <v>938.4000244140625</v>
      </c>
      <c r="AX2">
        <v>935.3900146484375</v>
      </c>
      <c r="AY2">
        <v>932.8599853515625</v>
      </c>
      <c r="AZ2">
        <v>958.72998046875</v>
      </c>
      <c r="BA2">
        <v>933.4400024414062</v>
      </c>
      <c r="BB2">
        <v>956.0800170898438</v>
      </c>
      <c r="BC2">
        <v>958.1599731445312</v>
      </c>
      <c r="BD2">
        <v>1016.590026855469</v>
      </c>
      <c r="BE2">
        <v>1000.260009765625</v>
      </c>
      <c r="BF2">
        <v>1027.77001953125</v>
      </c>
      <c r="BG2">
        <v>977.4099731445312</v>
      </c>
      <c r="BH2">
        <v>975.260009765625</v>
      </c>
      <c r="BI2">
        <v>924.030029296875</v>
      </c>
    </row>
    <row r="3" spans="1:61">
      <c r="A3" t="s">
        <v>2</v>
      </c>
      <c r="B3">
        <v>2184.75</v>
      </c>
      <c r="C3">
        <v>2273.72998046875</v>
      </c>
      <c r="D3">
        <v>1963.599975585938</v>
      </c>
      <c r="E3">
        <v>1914.4599609375</v>
      </c>
      <c r="F3">
        <v>2335</v>
      </c>
      <c r="G3">
        <v>2090.7099609375</v>
      </c>
      <c r="H3">
        <v>2050.389892578125</v>
      </c>
      <c r="I3">
        <v>2273.72998046875</v>
      </c>
      <c r="J3">
        <v>2032.219970703125</v>
      </c>
      <c r="K3">
        <v>1745</v>
      </c>
      <c r="L3">
        <v>1744.430053710938</v>
      </c>
      <c r="M3">
        <v>1617.699951171875</v>
      </c>
      <c r="N3">
        <v>1727.180053710938</v>
      </c>
      <c r="O3">
        <v>1858.27001953125</v>
      </c>
      <c r="P3">
        <v>1915.920043945312</v>
      </c>
      <c r="Q3">
        <v>1673.969970703125</v>
      </c>
      <c r="R3">
        <v>1757.819946289062</v>
      </c>
      <c r="S3">
        <v>1615</v>
      </c>
      <c r="T3">
        <v>1411.079956054688</v>
      </c>
      <c r="U3">
        <v>1354.819946289062</v>
      </c>
      <c r="V3">
        <v>1390.949951171875</v>
      </c>
      <c r="W3">
        <v>1589.400024414062</v>
      </c>
      <c r="X3">
        <v>1599.27001953125</v>
      </c>
      <c r="Y3">
        <v>1610.329956054688</v>
      </c>
      <c r="Z3">
        <v>1436.56005859375</v>
      </c>
      <c r="AA3">
        <v>1278.22998046875</v>
      </c>
      <c r="AB3">
        <v>1096.099975585938</v>
      </c>
      <c r="AC3">
        <v>1015.890014648438</v>
      </c>
      <c r="AD3">
        <v>1279.9599609375</v>
      </c>
      <c r="AE3">
        <v>1214.829956054688</v>
      </c>
      <c r="AF3">
        <v>1288.030029296875</v>
      </c>
      <c r="AG3">
        <v>1427.619995117188</v>
      </c>
      <c r="AH3">
        <v>1350.5</v>
      </c>
      <c r="AI3">
        <v>1258.579956054688</v>
      </c>
      <c r="AJ3">
        <v>1212.2099609375</v>
      </c>
      <c r="AK3">
        <v>1237.920043945312</v>
      </c>
      <c r="AL3">
        <v>1271.050048828125</v>
      </c>
      <c r="AM3">
        <v>1344.2900390625</v>
      </c>
      <c r="AN3">
        <v>1528.109985351562</v>
      </c>
      <c r="AO3">
        <v>1641.109985351562</v>
      </c>
      <c r="AP3">
        <v>1786.849975585938</v>
      </c>
      <c r="AQ3">
        <v>1625.780029296875</v>
      </c>
      <c r="AR3">
        <v>1568.869995117188</v>
      </c>
      <c r="AS3">
        <v>1600.619995117188</v>
      </c>
      <c r="AT3">
        <v>1596.079956054688</v>
      </c>
      <c r="AU3">
        <v>1493.119995117188</v>
      </c>
      <c r="AV3">
        <v>1480.77001953125</v>
      </c>
      <c r="AW3">
        <v>1499.369995117188</v>
      </c>
      <c r="AX3">
        <v>1484.949951171875</v>
      </c>
      <c r="AY3">
        <v>1484.97998046875</v>
      </c>
      <c r="AZ3">
        <v>1566.699951171875</v>
      </c>
      <c r="BA3">
        <v>1536.869995117188</v>
      </c>
      <c r="BB3">
        <v>1553.400024414062</v>
      </c>
      <c r="BC3">
        <v>1554.989990234375</v>
      </c>
      <c r="BD3">
        <v>1740</v>
      </c>
      <c r="BE3">
        <v>1737.989990234375</v>
      </c>
      <c r="BF3">
        <v>1764.170043945312</v>
      </c>
      <c r="BG3">
        <v>1692.589965820312</v>
      </c>
      <c r="BH3">
        <v>1633.349975585938</v>
      </c>
      <c r="BI3">
        <v>1551.989990234375</v>
      </c>
    </row>
    <row r="4" spans="1:61">
      <c r="A4" t="s">
        <v>3</v>
      </c>
      <c r="B4">
        <v>745.990478515625</v>
      </c>
      <c r="C4">
        <v>732.3848876953125</v>
      </c>
      <c r="D4">
        <v>670.5347290039062</v>
      </c>
      <c r="E4">
        <v>643.6234130859375</v>
      </c>
      <c r="F4">
        <v>675.1732788085938</v>
      </c>
      <c r="G4">
        <v>586.2618408203125</v>
      </c>
      <c r="H4">
        <v>651.6708374023438</v>
      </c>
      <c r="I4">
        <v>638.5150146484375</v>
      </c>
      <c r="J4">
        <v>598.177978515625</v>
      </c>
      <c r="K4">
        <v>538.8270263671875</v>
      </c>
      <c r="L4">
        <v>577.2747192382812</v>
      </c>
      <c r="M4">
        <v>531.92919921875</v>
      </c>
      <c r="N4">
        <v>550.1234130859375</v>
      </c>
      <c r="O4">
        <v>577.864501953125</v>
      </c>
      <c r="P4">
        <v>582.403076171875</v>
      </c>
      <c r="Q4">
        <v>555.3717041015625</v>
      </c>
      <c r="R4">
        <v>563.1392211914062</v>
      </c>
      <c r="S4">
        <v>513.6751098632812</v>
      </c>
      <c r="T4">
        <v>466.6601867675781</v>
      </c>
      <c r="U4">
        <v>477.0668640136719</v>
      </c>
      <c r="V4">
        <v>487.2635803222656</v>
      </c>
      <c r="W4">
        <v>548.2140502929688</v>
      </c>
      <c r="X4">
        <v>556.4913330078125</v>
      </c>
      <c r="Y4">
        <v>558.120849609375</v>
      </c>
      <c r="Z4">
        <v>519.6331787109375</v>
      </c>
      <c r="AA4">
        <v>497.7602233886719</v>
      </c>
      <c r="AB4">
        <v>463.3612670898438</v>
      </c>
      <c r="AC4">
        <v>461.8917236328125</v>
      </c>
      <c r="AD4">
        <v>532.868896484375</v>
      </c>
      <c r="AE4">
        <v>544.6651611328125</v>
      </c>
      <c r="AF4">
        <v>527.05078125</v>
      </c>
      <c r="AG4">
        <v>548.3839721679688</v>
      </c>
      <c r="AH4">
        <v>519.0033569335938</v>
      </c>
      <c r="AI4">
        <v>451.3750915527344</v>
      </c>
      <c r="AJ4">
        <v>434.1606140136719</v>
      </c>
      <c r="AK4">
        <v>438.1993408203125</v>
      </c>
      <c r="AL4">
        <v>437.7894592285156</v>
      </c>
      <c r="AM4">
        <v>453.9542846679688</v>
      </c>
      <c r="AN4">
        <v>487.1336364746094</v>
      </c>
      <c r="AO4">
        <v>508.63671875</v>
      </c>
      <c r="AP4">
        <v>535.8380126953125</v>
      </c>
      <c r="AQ4">
        <v>496.0007934570312</v>
      </c>
      <c r="AR4">
        <v>461.9417114257812</v>
      </c>
      <c r="AS4">
        <v>468.8994750976562</v>
      </c>
      <c r="AT4">
        <v>459.2925720214844</v>
      </c>
      <c r="AU4">
        <v>435.2402954101562</v>
      </c>
      <c r="AV4">
        <v>450.6053466796875</v>
      </c>
      <c r="AW4">
        <v>468.7295227050781</v>
      </c>
      <c r="AX4">
        <v>461.8517456054688</v>
      </c>
      <c r="AY4">
        <v>459.3025817871094</v>
      </c>
      <c r="AZ4">
        <v>450.4053955078125</v>
      </c>
      <c r="BA4">
        <v>450.2954406738281</v>
      </c>
      <c r="BB4">
        <v>448.7559509277344</v>
      </c>
      <c r="BC4">
        <v>441.4283142089844</v>
      </c>
      <c r="BD4">
        <v>467.3099670410156</v>
      </c>
      <c r="BE4">
        <v>477.2999877929688</v>
      </c>
      <c r="BF4">
        <v>482.2799987792969</v>
      </c>
      <c r="BG4">
        <v>460.9299926757812</v>
      </c>
      <c r="BH4">
        <v>447.1799926757812</v>
      </c>
      <c r="BI4">
        <v>426.9400024414062</v>
      </c>
    </row>
    <row r="5" spans="1:61">
      <c r="A5" t="s">
        <v>4</v>
      </c>
      <c r="B5">
        <v>235.3903045654297</v>
      </c>
      <c r="C5">
        <v>242.8415069580078</v>
      </c>
      <c r="D5">
        <v>242.7418823242188</v>
      </c>
      <c r="E5">
        <v>241.4967041015625</v>
      </c>
      <c r="F5">
        <v>254.0780792236328</v>
      </c>
      <c r="G5">
        <v>258.3714904785156</v>
      </c>
      <c r="H5">
        <v>265.2947387695312</v>
      </c>
      <c r="I5">
        <v>259.4373779296875</v>
      </c>
      <c r="J5">
        <v>268.4027404785156</v>
      </c>
      <c r="K5">
        <v>266.7291870117188</v>
      </c>
      <c r="L5">
        <v>269.2793579101562</v>
      </c>
      <c r="M5">
        <v>265.1951293945312</v>
      </c>
      <c r="N5">
        <v>281.7909851074219</v>
      </c>
      <c r="O5">
        <v>280.1672668457031</v>
      </c>
      <c r="P5">
        <v>279.6094055175781</v>
      </c>
      <c r="Q5">
        <v>294.6513061523438</v>
      </c>
      <c r="R5">
        <v>300.2695617675781</v>
      </c>
      <c r="S5">
        <v>291.5333251953125</v>
      </c>
      <c r="T5">
        <v>299.1040954589844</v>
      </c>
      <c r="U5">
        <v>308.4579162597656</v>
      </c>
      <c r="V5">
        <v>312.1038208007812</v>
      </c>
      <c r="W5">
        <v>313.5880737304688</v>
      </c>
      <c r="X5">
        <v>309.7230529785156</v>
      </c>
      <c r="Y5">
        <v>304.0848388671875</v>
      </c>
      <c r="Z5">
        <v>301.33544921875</v>
      </c>
      <c r="AA5">
        <v>303.756103515625</v>
      </c>
      <c r="AB5">
        <v>297.7294006347656</v>
      </c>
      <c r="AC5">
        <v>300.1600036621094</v>
      </c>
      <c r="AD5">
        <v>310.5099792480469</v>
      </c>
      <c r="AE5">
        <v>312.8999938964844</v>
      </c>
      <c r="AF5">
        <v>307.5400085449219</v>
      </c>
      <c r="AG5">
        <v>308.7300109863281</v>
      </c>
      <c r="AH5">
        <v>302.3900146484375</v>
      </c>
      <c r="AI5">
        <v>302.989990234375</v>
      </c>
      <c r="AJ5">
        <v>298.3099975585938</v>
      </c>
      <c r="AK5">
        <v>314.9500122070312</v>
      </c>
      <c r="AL5">
        <v>323.9200134277344</v>
      </c>
      <c r="AM5">
        <v>330.2099914550781</v>
      </c>
      <c r="AN5">
        <v>342.9200134277344</v>
      </c>
      <c r="AO5">
        <v>341.6700134277344</v>
      </c>
      <c r="AP5">
        <v>347.1900024414062</v>
      </c>
      <c r="AQ5">
        <v>350.0499877929688</v>
      </c>
      <c r="AR5">
        <v>346.260009765625</v>
      </c>
      <c r="AS5">
        <v>341.510009765625</v>
      </c>
      <c r="AT5">
        <v>348.8599853515625</v>
      </c>
      <c r="AU5">
        <v>346</v>
      </c>
      <c r="AV5">
        <v>340.4100036621094</v>
      </c>
      <c r="AW5">
        <v>348.0299987792969</v>
      </c>
      <c r="AX5">
        <v>346.5899963378906</v>
      </c>
      <c r="AY5">
        <v>352.3599853515625</v>
      </c>
      <c r="AZ5">
        <v>358.9200134277344</v>
      </c>
      <c r="BA5">
        <v>361.989990234375</v>
      </c>
      <c r="BB5">
        <v>366.0899963378906</v>
      </c>
      <c r="BC5">
        <v>370.6900024414062</v>
      </c>
      <c r="BD5">
        <v>370.7200012207031</v>
      </c>
      <c r="BE5">
        <v>382.8500061035156</v>
      </c>
      <c r="BF5">
        <v>388.9500122070312</v>
      </c>
      <c r="BG5">
        <v>385.4299926757812</v>
      </c>
      <c r="BH5">
        <v>390.4200134277344</v>
      </c>
      <c r="BI5">
        <v>382.9500122070312</v>
      </c>
    </row>
    <row r="6" spans="1:61">
      <c r="A6" t="s">
        <v>5</v>
      </c>
      <c r="B6">
        <v>242.2467041015625</v>
      </c>
      <c r="C6">
        <v>246.6147308349609</v>
      </c>
      <c r="D6">
        <v>247.8413848876953</v>
      </c>
      <c r="E6">
        <v>245.8368530273438</v>
      </c>
      <c r="F6">
        <v>252.8676147460938</v>
      </c>
      <c r="G6">
        <v>253.3662414550781</v>
      </c>
      <c r="H6">
        <v>258.5121459960938</v>
      </c>
      <c r="I6">
        <v>254.9718475341797</v>
      </c>
      <c r="J6">
        <v>264.146728515625</v>
      </c>
      <c r="K6">
        <v>265.6226806640625</v>
      </c>
      <c r="L6">
        <v>268.2554626464844</v>
      </c>
      <c r="M6">
        <v>265.6027221679688</v>
      </c>
      <c r="N6">
        <v>279.9135437011719</v>
      </c>
      <c r="O6">
        <v>282.5263977050781</v>
      </c>
      <c r="P6">
        <v>282.9651794433594</v>
      </c>
      <c r="Q6">
        <v>296.0693359375</v>
      </c>
      <c r="R6">
        <v>302.5715026855469</v>
      </c>
      <c r="S6">
        <v>298.363037109375</v>
      </c>
      <c r="T6">
        <v>305.0148315429688</v>
      </c>
      <c r="U6">
        <v>311.7463989257812</v>
      </c>
      <c r="V6">
        <v>314.4490051269531</v>
      </c>
      <c r="W6">
        <v>318.8868408203125</v>
      </c>
      <c r="X6">
        <v>314.9576110839844</v>
      </c>
      <c r="Y6">
        <v>311.4172973632812</v>
      </c>
      <c r="Z6">
        <v>308.3955688476562</v>
      </c>
      <c r="AA6">
        <v>311.4970703125</v>
      </c>
      <c r="AB6">
        <v>305.2142639160156</v>
      </c>
      <c r="AC6">
        <v>307.8769836425781</v>
      </c>
      <c r="AD6">
        <v>313.2223510742188</v>
      </c>
      <c r="AE6">
        <v>315.6058349609375</v>
      </c>
      <c r="AF6">
        <v>306.1915893554688</v>
      </c>
      <c r="AG6">
        <v>311.75634765625</v>
      </c>
      <c r="AH6">
        <v>296.9369506835938</v>
      </c>
      <c r="AI6">
        <v>298.432861328125</v>
      </c>
      <c r="AJ6">
        <v>297.3857421875</v>
      </c>
      <c r="AK6">
        <v>319.4453125</v>
      </c>
      <c r="AL6">
        <v>335.5013732910156</v>
      </c>
      <c r="AM6">
        <v>347.2990417480469</v>
      </c>
      <c r="AN6">
        <v>355.3968811035156</v>
      </c>
      <c r="AO6">
        <v>354.4494934082031</v>
      </c>
      <c r="AP6">
        <v>357.2019348144531</v>
      </c>
      <c r="AQ6">
        <v>365.2099914550781</v>
      </c>
      <c r="AR6">
        <v>360.75</v>
      </c>
      <c r="AS6">
        <v>358.2300109863281</v>
      </c>
      <c r="AT6">
        <v>360.7200012207031</v>
      </c>
      <c r="AU6">
        <v>362.5199890136719</v>
      </c>
      <c r="AV6">
        <v>354.8800048828125</v>
      </c>
      <c r="AW6">
        <v>362.2699890136719</v>
      </c>
      <c r="AX6">
        <v>363.5400085449219</v>
      </c>
      <c r="AY6">
        <v>368.8299865722656</v>
      </c>
      <c r="AZ6">
        <v>373.3200073242188</v>
      </c>
      <c r="BA6">
        <v>383</v>
      </c>
      <c r="BB6">
        <v>387</v>
      </c>
      <c r="BC6">
        <v>387.7099914550781</v>
      </c>
      <c r="BD6">
        <v>388.8999938964844</v>
      </c>
      <c r="BE6">
        <v>397.7699890136719</v>
      </c>
      <c r="BF6">
        <v>399.4400024414062</v>
      </c>
      <c r="BG6">
        <v>392.4200134277344</v>
      </c>
      <c r="BH6">
        <v>395.9299926757812</v>
      </c>
      <c r="BI6">
        <v>396.4500122070312</v>
      </c>
    </row>
    <row r="7" spans="1:61">
      <c r="A7" t="s">
        <v>6</v>
      </c>
      <c r="B7">
        <v>51.58330154418945</v>
      </c>
      <c r="C7">
        <v>51.76248168945312</v>
      </c>
      <c r="D7">
        <v>51.99142837524414</v>
      </c>
      <c r="E7">
        <v>50.85663604736328</v>
      </c>
      <c r="F7">
        <v>50.97608947753906</v>
      </c>
      <c r="G7">
        <v>49.76166152954102</v>
      </c>
      <c r="H7">
        <v>48.86577224731445</v>
      </c>
      <c r="I7">
        <v>48.34814834594727</v>
      </c>
      <c r="J7">
        <v>47.72102355957031</v>
      </c>
      <c r="K7">
        <v>48.68659591674805</v>
      </c>
      <c r="L7">
        <v>48.58705139160156</v>
      </c>
      <c r="M7">
        <v>51.44394302368164</v>
      </c>
      <c r="N7">
        <v>53.34521865844727</v>
      </c>
      <c r="O7">
        <v>52.06110763549805</v>
      </c>
      <c r="P7">
        <v>52.64841461181641</v>
      </c>
      <c r="Q7">
        <v>54.55964660644531</v>
      </c>
      <c r="R7">
        <v>54.32073974609375</v>
      </c>
      <c r="S7">
        <v>53.52439498901367</v>
      </c>
      <c r="T7">
        <v>53.40494537353516</v>
      </c>
      <c r="U7">
        <v>54.60941696166992</v>
      </c>
      <c r="V7">
        <v>54.93790817260742</v>
      </c>
      <c r="W7">
        <v>56.24192428588867</v>
      </c>
      <c r="X7">
        <v>57.23735809326172</v>
      </c>
      <c r="Y7">
        <v>57.33689880371094</v>
      </c>
      <c r="Z7">
        <v>57.03827285766602</v>
      </c>
      <c r="AA7">
        <v>54.67909622192383</v>
      </c>
      <c r="AB7">
        <v>53.68366622924805</v>
      </c>
      <c r="AC7">
        <v>55.77407073974609</v>
      </c>
      <c r="AD7">
        <v>55.69443893432617</v>
      </c>
      <c r="AE7">
        <v>56.80932235717773</v>
      </c>
      <c r="AF7">
        <v>55.21663284301758</v>
      </c>
      <c r="AG7">
        <v>54.8383674621582</v>
      </c>
      <c r="AH7">
        <v>53.56421279907227</v>
      </c>
      <c r="AI7">
        <v>55.78402709960938</v>
      </c>
      <c r="AJ7">
        <v>55.65462112426758</v>
      </c>
      <c r="AK7">
        <v>58.38210678100586</v>
      </c>
      <c r="AL7">
        <v>58.79023361206055</v>
      </c>
      <c r="AM7">
        <v>58.28256225585938</v>
      </c>
      <c r="AN7">
        <v>57.43644714355469</v>
      </c>
      <c r="AO7">
        <v>58.09342956542969</v>
      </c>
      <c r="AP7">
        <v>58.77032470703125</v>
      </c>
      <c r="AQ7">
        <v>59.52685165405273</v>
      </c>
      <c r="AR7">
        <v>59.81552886962891</v>
      </c>
      <c r="AS7">
        <v>61.23899841308594</v>
      </c>
      <c r="AT7">
        <v>61.02000045776367</v>
      </c>
      <c r="AU7">
        <v>59.8354377746582</v>
      </c>
      <c r="AV7">
        <v>58.1431999206543</v>
      </c>
      <c r="AW7">
        <v>58.35224151611328</v>
      </c>
      <c r="AX7">
        <v>58.89972686767578</v>
      </c>
      <c r="AY7">
        <v>58.83004760742188</v>
      </c>
      <c r="AZ7">
        <v>59.90511703491211</v>
      </c>
      <c r="BA7">
        <v>60.67160034179688</v>
      </c>
      <c r="BB7">
        <v>60.63178253173828</v>
      </c>
      <c r="BC7">
        <v>60.33315277099609</v>
      </c>
      <c r="BD7">
        <v>59.7657585144043</v>
      </c>
      <c r="BE7">
        <v>60.37297058105469</v>
      </c>
      <c r="BF7">
        <v>61.02000045776367</v>
      </c>
      <c r="BG7">
        <v>61.15999984741211</v>
      </c>
      <c r="BH7">
        <v>61.45999908447266</v>
      </c>
      <c r="BI7">
        <v>61.77999877929688</v>
      </c>
    </row>
    <row r="8" spans="1:61">
      <c r="A8" t="s">
        <v>7</v>
      </c>
      <c r="B8">
        <v>165.2628631591797</v>
      </c>
      <c r="C8">
        <v>167.5208740234375</v>
      </c>
      <c r="D8">
        <v>169.440673828125</v>
      </c>
      <c r="E8">
        <v>167.7496643066406</v>
      </c>
      <c r="F8">
        <v>170.8531799316406</v>
      </c>
      <c r="G8">
        <v>170.7437591552734</v>
      </c>
      <c r="H8">
        <v>173.131103515625</v>
      </c>
      <c r="I8">
        <v>168.1575012207031</v>
      </c>
      <c r="J8">
        <v>173.5787200927734</v>
      </c>
      <c r="K8">
        <v>175.4885864257812</v>
      </c>
      <c r="L8">
        <v>176.3937835693359</v>
      </c>
      <c r="M8">
        <v>177.8957977294922</v>
      </c>
      <c r="N8">
        <v>186.8184509277344</v>
      </c>
      <c r="O8">
        <v>188.8178405761719</v>
      </c>
      <c r="P8">
        <v>187.3655395507812</v>
      </c>
      <c r="Q8">
        <v>197.2431182861328</v>
      </c>
      <c r="R8">
        <v>200.3864288330078</v>
      </c>
      <c r="S8">
        <v>195.1243743896484</v>
      </c>
      <c r="T8">
        <v>200.2571258544922</v>
      </c>
      <c r="U8">
        <v>205.7678680419922</v>
      </c>
      <c r="V8">
        <v>207.6976318359375</v>
      </c>
      <c r="W8">
        <v>211.1493225097656</v>
      </c>
      <c r="X8">
        <v>210.2938537597656</v>
      </c>
      <c r="Y8">
        <v>205.8872375488281</v>
      </c>
      <c r="Z8">
        <v>205.6783599853516</v>
      </c>
      <c r="AA8">
        <v>206.7228088378906</v>
      </c>
      <c r="AB8">
        <v>204.7632141113281</v>
      </c>
      <c r="AC8">
        <v>205.7181396484375</v>
      </c>
      <c r="AD8">
        <v>209.4881286621094</v>
      </c>
      <c r="AE8">
        <v>210.5624237060547</v>
      </c>
      <c r="AF8">
        <v>205.1014099121094</v>
      </c>
      <c r="AG8">
        <v>204.8029937744141</v>
      </c>
      <c r="AH8">
        <v>201.4806365966797</v>
      </c>
      <c r="AI8">
        <v>204.4349517822266</v>
      </c>
      <c r="AJ8">
        <v>202.8334503173828</v>
      </c>
      <c r="AK8">
        <v>214.3821563720703</v>
      </c>
      <c r="AL8">
        <v>223.1754760742188</v>
      </c>
      <c r="AM8">
        <v>224.3890380859375</v>
      </c>
      <c r="AN8">
        <v>231.3819274902344</v>
      </c>
      <c r="AO8">
        <v>232.3766479492188</v>
      </c>
      <c r="AP8">
        <v>239.2800140380859</v>
      </c>
      <c r="AQ8">
        <v>243.4900054931641</v>
      </c>
      <c r="AR8">
        <v>242.2899932861328</v>
      </c>
      <c r="AS8">
        <v>240</v>
      </c>
      <c r="AT8">
        <v>242.8699951171875</v>
      </c>
      <c r="AU8">
        <v>241.9600067138672</v>
      </c>
      <c r="AV8">
        <v>236.8999938964844</v>
      </c>
      <c r="AW8">
        <v>242.2299957275391</v>
      </c>
      <c r="AX8">
        <v>239.8099975585938</v>
      </c>
      <c r="AY8">
        <v>244.0099945068359</v>
      </c>
      <c r="AZ8">
        <v>246.5800018310547</v>
      </c>
      <c r="BA8">
        <v>252.0200042724609</v>
      </c>
      <c r="BB8">
        <v>256.0899963378906</v>
      </c>
      <c r="BC8">
        <v>254.6600036621094</v>
      </c>
      <c r="BD8">
        <v>255.0899963378906</v>
      </c>
      <c r="BE8">
        <v>259.1400146484375</v>
      </c>
      <c r="BF8">
        <v>260.7799987792969</v>
      </c>
      <c r="BG8">
        <v>258.510009765625</v>
      </c>
      <c r="BH8">
        <v>259.4700012207031</v>
      </c>
      <c r="BI8">
        <v>257.0599975585938</v>
      </c>
    </row>
    <row r="9" spans="1:61">
      <c r="A9" t="s">
        <v>8</v>
      </c>
      <c r="B9">
        <v>32.79914855957031</v>
      </c>
      <c r="C9">
        <v>33.96097183227539</v>
      </c>
      <c r="D9">
        <v>33.9808349609375</v>
      </c>
      <c r="E9">
        <v>33.09705352783203</v>
      </c>
      <c r="F9">
        <v>33.18642044067383</v>
      </c>
      <c r="G9">
        <v>32.77928924560547</v>
      </c>
      <c r="H9">
        <v>32.72963714599609</v>
      </c>
      <c r="I9">
        <v>32.34236526489258</v>
      </c>
      <c r="J9">
        <v>31.64725685119629</v>
      </c>
      <c r="K9">
        <v>32.13383102416992</v>
      </c>
      <c r="L9">
        <v>32.23313140869141</v>
      </c>
      <c r="M9">
        <v>33.76237106323242</v>
      </c>
      <c r="N9">
        <v>34.81496429443359</v>
      </c>
      <c r="O9">
        <v>33.05733489990234</v>
      </c>
      <c r="P9">
        <v>33.20628356933594</v>
      </c>
      <c r="Q9">
        <v>34.42768478393555</v>
      </c>
      <c r="R9">
        <v>34.28866577148438</v>
      </c>
      <c r="S9">
        <v>34.03048324584961</v>
      </c>
      <c r="T9">
        <v>34.04041290283203</v>
      </c>
      <c r="U9">
        <v>34.97384262084961</v>
      </c>
      <c r="V9">
        <v>34.59650039672852</v>
      </c>
      <c r="W9">
        <v>35.52000045776367</v>
      </c>
      <c r="X9">
        <v>36.18000030517578</v>
      </c>
      <c r="Y9">
        <v>36.41999816894531</v>
      </c>
      <c r="Z9">
        <v>36.15000152587891</v>
      </c>
      <c r="AA9">
        <v>34.7400016784668</v>
      </c>
      <c r="AB9">
        <v>34.93000030517578</v>
      </c>
      <c r="AC9">
        <v>36.70000076293945</v>
      </c>
      <c r="AD9">
        <v>36.33000183105469</v>
      </c>
      <c r="AE9">
        <v>37.31999969482422</v>
      </c>
      <c r="AF9">
        <v>36.86999893188477</v>
      </c>
      <c r="AG9">
        <v>35.79999923706055</v>
      </c>
      <c r="AH9">
        <v>34.65999984741211</v>
      </c>
      <c r="AI9">
        <v>36.52999877929688</v>
      </c>
      <c r="AJ9">
        <v>37.63000106811523</v>
      </c>
      <c r="AK9">
        <v>41.02000045776367</v>
      </c>
      <c r="AL9">
        <v>40.61999893188477</v>
      </c>
      <c r="AM9">
        <v>39.97000122070312</v>
      </c>
      <c r="AN9">
        <v>40</v>
      </c>
      <c r="AO9">
        <v>40.47000122070312</v>
      </c>
      <c r="AP9">
        <v>41.58000183105469</v>
      </c>
      <c r="AQ9">
        <v>42.36999893188477</v>
      </c>
      <c r="AR9">
        <v>43.45000076293945</v>
      </c>
      <c r="AS9">
        <v>44.38999938964844</v>
      </c>
      <c r="AT9">
        <v>43.38999938964844</v>
      </c>
      <c r="AU9">
        <v>42.95999908447266</v>
      </c>
      <c r="AV9">
        <v>41.34999847412109</v>
      </c>
      <c r="AW9">
        <v>41.18999862670898</v>
      </c>
      <c r="AX9">
        <v>42.38000106811523</v>
      </c>
      <c r="AY9">
        <v>42.54000091552734</v>
      </c>
      <c r="AZ9">
        <v>43.15000152587891</v>
      </c>
      <c r="BA9">
        <v>44.29999923706055</v>
      </c>
      <c r="BB9">
        <v>44.70000076293945</v>
      </c>
      <c r="BC9">
        <v>44.18000030517578</v>
      </c>
      <c r="BD9">
        <v>42.77000045776367</v>
      </c>
      <c r="BE9">
        <v>43.54999923706055</v>
      </c>
      <c r="BF9">
        <v>44.84000015258789</v>
      </c>
      <c r="BG9">
        <v>44.52999877929688</v>
      </c>
      <c r="BH9">
        <v>44.72999954223633</v>
      </c>
      <c r="BI9">
        <v>45.02999877929688</v>
      </c>
    </row>
    <row r="10" spans="1:61">
      <c r="A10" t="s">
        <v>9</v>
      </c>
      <c r="B10">
        <v>210.4545135498047</v>
      </c>
      <c r="C10">
        <v>208.4167785644531</v>
      </c>
      <c r="D10">
        <v>199.81640625</v>
      </c>
      <c r="E10">
        <v>198.7775726318359</v>
      </c>
      <c r="F10">
        <v>195.5212249755859</v>
      </c>
      <c r="G10">
        <v>192.3148040771484</v>
      </c>
      <c r="H10">
        <v>194.7520751953125</v>
      </c>
      <c r="I10">
        <v>199.8663482666016</v>
      </c>
      <c r="J10">
        <v>197.3591613769531</v>
      </c>
      <c r="K10">
        <v>194.6122436523438</v>
      </c>
      <c r="L10">
        <v>195.3314361572266</v>
      </c>
      <c r="M10">
        <v>196.7098846435547</v>
      </c>
      <c r="N10">
        <v>203.891845703125</v>
      </c>
      <c r="O10">
        <v>202.5533447265625</v>
      </c>
      <c r="P10">
        <v>210.7242126464844</v>
      </c>
      <c r="Q10">
        <v>203.3025054931641</v>
      </c>
      <c r="R10">
        <v>211.5632781982422</v>
      </c>
      <c r="S10">
        <v>212.2624816894531</v>
      </c>
      <c r="T10">
        <v>207.1681823730469</v>
      </c>
      <c r="U10">
        <v>202.5833129882812</v>
      </c>
      <c r="V10">
        <v>203.0527954101562</v>
      </c>
      <c r="W10">
        <v>207.0583038330078</v>
      </c>
      <c r="X10">
        <v>211.8229827880859</v>
      </c>
      <c r="Y10">
        <v>208.5266571044922</v>
      </c>
      <c r="Z10">
        <v>206.6088104248047</v>
      </c>
      <c r="AA10">
        <v>196.2903594970703</v>
      </c>
      <c r="AB10">
        <v>196.789794921875</v>
      </c>
      <c r="AC10">
        <v>189.7976226806641</v>
      </c>
      <c r="AD10">
        <v>194.8219909667969</v>
      </c>
      <c r="AE10">
        <v>200.5256195068359</v>
      </c>
      <c r="AF10">
        <v>206.4090423583984</v>
      </c>
      <c r="AG10">
        <v>211.7031097412109</v>
      </c>
      <c r="AH10">
        <v>218.9749755859375</v>
      </c>
      <c r="AI10">
        <v>218.7452392578125</v>
      </c>
      <c r="AJ10">
        <v>223.7096862792969</v>
      </c>
      <c r="AK10">
        <v>217.3068389892578</v>
      </c>
      <c r="AL10">
        <v>217.2568969726562</v>
      </c>
      <c r="AM10">
        <v>223.8395233154297</v>
      </c>
      <c r="AN10">
        <v>225.0481872558594</v>
      </c>
      <c r="AO10">
        <v>224.9083404541016</v>
      </c>
      <c r="AP10">
        <v>224.7584991455078</v>
      </c>
      <c r="AQ10">
        <v>219.4944000244141</v>
      </c>
      <c r="AR10">
        <v>217.3168334960938</v>
      </c>
      <c r="AS10">
        <v>216.6076354980469</v>
      </c>
      <c r="AT10">
        <v>214.4800109863281</v>
      </c>
      <c r="AU10">
        <v>208.2469787597656</v>
      </c>
      <c r="AV10">
        <v>212.8118743896484</v>
      </c>
      <c r="AW10">
        <v>209.4256591796875</v>
      </c>
      <c r="AX10">
        <v>227.7251739501953</v>
      </c>
      <c r="AY10">
        <v>217.3068389892578</v>
      </c>
      <c r="AZ10">
        <v>220.5332336425781</v>
      </c>
      <c r="BA10">
        <v>217.1969757080078</v>
      </c>
      <c r="BB10">
        <v>224.1591796875</v>
      </c>
      <c r="BC10">
        <v>228.1946563720703</v>
      </c>
      <c r="BD10">
        <v>230.1025238037109</v>
      </c>
      <c r="BE10">
        <v>225.4776916503906</v>
      </c>
      <c r="BF10">
        <v>223.4199981689453</v>
      </c>
      <c r="BG10">
        <v>218.3600006103516</v>
      </c>
      <c r="BH10">
        <v>218.2899932861328</v>
      </c>
      <c r="BI10">
        <v>210.9600067138672</v>
      </c>
    </row>
    <row r="11" spans="1:61">
      <c r="A11" t="s">
        <v>10</v>
      </c>
      <c r="B11">
        <v>306.7611694335938</v>
      </c>
      <c r="C11">
        <v>309.5516357421875</v>
      </c>
      <c r="D11">
        <v>315.8800048828125</v>
      </c>
      <c r="E11">
        <v>319.6471252441406</v>
      </c>
      <c r="F11">
        <v>317.2054748535156</v>
      </c>
      <c r="G11">
        <v>326.2545166015625</v>
      </c>
      <c r="H11">
        <v>330.7491760253906</v>
      </c>
      <c r="I11">
        <v>328.9951477050781</v>
      </c>
      <c r="J11">
        <v>333.4798278808594</v>
      </c>
      <c r="K11">
        <v>341.1436157226562</v>
      </c>
      <c r="L11">
        <v>338.0143432617188</v>
      </c>
      <c r="M11">
        <v>342.5588073730469</v>
      </c>
      <c r="N11">
        <v>336.7885131835938</v>
      </c>
      <c r="O11">
        <v>336.3301086425781</v>
      </c>
      <c r="P11">
        <v>337.7651977539062</v>
      </c>
      <c r="Q11">
        <v>340.3463745117188</v>
      </c>
      <c r="R11">
        <v>335.6822814941406</v>
      </c>
      <c r="S11">
        <v>328.0683288574219</v>
      </c>
      <c r="T11">
        <v>336.6689453125</v>
      </c>
      <c r="U11">
        <v>367.7227783203125</v>
      </c>
      <c r="V11">
        <v>367.244384765625</v>
      </c>
      <c r="W11">
        <v>368.3705444335938</v>
      </c>
      <c r="X11">
        <v>370.8121643066406</v>
      </c>
      <c r="Y11">
        <v>375.0875549316406</v>
      </c>
      <c r="Z11">
        <v>385.9404907226562</v>
      </c>
      <c r="AA11">
        <v>389.0199584960938</v>
      </c>
      <c r="AB11">
        <v>395.8665161132812</v>
      </c>
      <c r="AC11">
        <v>387.6845092773438</v>
      </c>
      <c r="AD11">
        <v>374.7088623046875</v>
      </c>
      <c r="AE11">
        <v>373.0844116210938</v>
      </c>
      <c r="AF11">
        <v>372.5462646484375</v>
      </c>
      <c r="AG11">
        <v>375.8648986816406</v>
      </c>
      <c r="AH11">
        <v>381.1468811035156</v>
      </c>
      <c r="AI11">
        <v>384.6847534179688</v>
      </c>
      <c r="AJ11">
        <v>383.0005187988281</v>
      </c>
      <c r="AK11">
        <v>374.3401184082031</v>
      </c>
      <c r="AL11">
        <v>374.3301391601562</v>
      </c>
      <c r="AM11">
        <v>368.8987426757812</v>
      </c>
      <c r="AN11">
        <v>368.7392883300781</v>
      </c>
      <c r="AO11">
        <v>369.0980224609375</v>
      </c>
      <c r="AP11">
        <v>363.2680053710938</v>
      </c>
      <c r="AQ11">
        <v>366.6763305664062</v>
      </c>
      <c r="AR11">
        <v>360.9857788085938</v>
      </c>
      <c r="AS11">
        <v>363.248046875</v>
      </c>
      <c r="AT11">
        <v>362.3411254882812</v>
      </c>
      <c r="AU11">
        <v>369.2873840332031</v>
      </c>
      <c r="AV11">
        <v>368.4004516601562</v>
      </c>
      <c r="AW11">
        <v>369.8853454589844</v>
      </c>
      <c r="AX11">
        <v>368.071533203125</v>
      </c>
      <c r="AY11">
        <v>368.6396179199219</v>
      </c>
      <c r="AZ11">
        <v>364.6831359863281</v>
      </c>
      <c r="BA11">
        <v>362.6799926757812</v>
      </c>
      <c r="BB11">
        <v>364.9322814941406</v>
      </c>
      <c r="BC11">
        <v>373.0644836425781</v>
      </c>
      <c r="BD11">
        <v>368.0914916992188</v>
      </c>
      <c r="BE11">
        <v>364.4140625</v>
      </c>
      <c r="BF11">
        <v>365.6000061035156</v>
      </c>
      <c r="BG11">
        <v>367.5599975585938</v>
      </c>
      <c r="BH11">
        <v>375.2000122070312</v>
      </c>
      <c r="BI11">
        <v>378.0499877929688</v>
      </c>
    </row>
    <row r="12" spans="1:61">
      <c r="A12" t="s">
        <v>11</v>
      </c>
      <c r="B12">
        <v>367.2215881347656</v>
      </c>
      <c r="C12">
        <v>348.5537109375</v>
      </c>
      <c r="D12">
        <v>345.8554382324219</v>
      </c>
      <c r="E12">
        <v>344.816162109375</v>
      </c>
      <c r="F12">
        <v>341.9679870605469</v>
      </c>
      <c r="G12">
        <v>334.4728698730469</v>
      </c>
      <c r="H12">
        <v>351.0520935058594</v>
      </c>
      <c r="I12">
        <v>353.1007385253906</v>
      </c>
      <c r="J12">
        <v>357.6578063964844</v>
      </c>
      <c r="K12">
        <v>355.9489135742188</v>
      </c>
      <c r="L12">
        <v>364.6632385253906</v>
      </c>
      <c r="M12">
        <v>363.3840942382812</v>
      </c>
      <c r="N12">
        <v>358.4772644042969</v>
      </c>
      <c r="O12">
        <v>356.0088500976562</v>
      </c>
      <c r="P12">
        <v>354.7996520996094</v>
      </c>
      <c r="Q12">
        <v>350.4425048828125</v>
      </c>
      <c r="R12">
        <v>357.09814453125</v>
      </c>
      <c r="S12">
        <v>369.9697875976562</v>
      </c>
      <c r="T12">
        <v>353.5804443359375</v>
      </c>
      <c r="U12">
        <v>345.8954467773438</v>
      </c>
      <c r="V12">
        <v>351.1420288085938</v>
      </c>
      <c r="W12">
        <v>345.9653930664062</v>
      </c>
      <c r="X12">
        <v>341.6881713867188</v>
      </c>
      <c r="Y12">
        <v>318.1334533691406</v>
      </c>
      <c r="Z12">
        <v>318.8829650878906</v>
      </c>
      <c r="AA12">
        <v>326.3581237792969</v>
      </c>
      <c r="AB12">
        <v>332.3842163085938</v>
      </c>
      <c r="AC12">
        <v>335.5421752929688</v>
      </c>
      <c r="AD12">
        <v>333.4635009765625</v>
      </c>
      <c r="AE12">
        <v>356.4186096191406</v>
      </c>
      <c r="AF12">
        <v>372.2283325195312</v>
      </c>
      <c r="AG12">
        <v>375.1064758300781</v>
      </c>
      <c r="AH12">
        <v>359.8963623046875</v>
      </c>
      <c r="AI12">
        <v>356.3886108398438</v>
      </c>
      <c r="AJ12">
        <v>353.2406616210938</v>
      </c>
      <c r="AK12">
        <v>355.609130859375</v>
      </c>
      <c r="AL12">
        <v>342.7774658203125</v>
      </c>
      <c r="AM12">
        <v>342.1478576660156</v>
      </c>
      <c r="AN12">
        <v>343.7168579101562</v>
      </c>
      <c r="AO12">
        <v>343.3171081542969</v>
      </c>
      <c r="AP12">
        <v>341.2284851074219</v>
      </c>
      <c r="AQ12">
        <v>341.0585632324219</v>
      </c>
      <c r="AR12">
        <v>341.4783325195312</v>
      </c>
      <c r="AS12">
        <v>337.9805908203125</v>
      </c>
      <c r="AT12">
        <v>341.5282592773438</v>
      </c>
      <c r="AU12">
        <v>344.3664245605469</v>
      </c>
      <c r="AV12">
        <v>343.1172485351562</v>
      </c>
      <c r="AW12">
        <v>338.8800048828125</v>
      </c>
      <c r="AX12">
        <v>337.4908752441406</v>
      </c>
      <c r="AY12">
        <v>342.6575317382812</v>
      </c>
      <c r="AZ12">
        <v>335.1923828125</v>
      </c>
      <c r="BA12">
        <v>331.8145751953125</v>
      </c>
      <c r="BB12">
        <v>333.5634460449219</v>
      </c>
      <c r="BC12">
        <v>338.8599853515625</v>
      </c>
      <c r="BD12">
        <v>335.3099975585938</v>
      </c>
      <c r="BE12">
        <v>335.3800048828125</v>
      </c>
      <c r="BF12">
        <v>328.3800048828125</v>
      </c>
      <c r="BG12">
        <v>330.3900146484375</v>
      </c>
      <c r="BH12">
        <v>335.4500122070312</v>
      </c>
      <c r="BI12">
        <v>345.7099914550781</v>
      </c>
    </row>
    <row r="13" spans="1:61">
      <c r="A13" t="s">
        <v>12</v>
      </c>
      <c r="B13">
        <v>61.02000045776367</v>
      </c>
      <c r="C13">
        <v>63.68000030517578</v>
      </c>
      <c r="D13">
        <v>63.13999938964844</v>
      </c>
      <c r="E13">
        <v>62.97000122070312</v>
      </c>
      <c r="F13">
        <v>64.76999664306641</v>
      </c>
      <c r="G13">
        <v>65.73000335693359</v>
      </c>
      <c r="H13">
        <v>64.54000091552734</v>
      </c>
      <c r="I13">
        <v>64.19000244140625</v>
      </c>
      <c r="J13">
        <v>68.34999847412109</v>
      </c>
      <c r="K13">
        <v>67.86000061035156</v>
      </c>
      <c r="L13">
        <v>66.05000305175781</v>
      </c>
      <c r="M13">
        <v>66.12000274658203</v>
      </c>
      <c r="N13">
        <v>67.08999633789062</v>
      </c>
      <c r="O13">
        <v>67.59999847412109</v>
      </c>
      <c r="P13">
        <v>67.34999847412109</v>
      </c>
      <c r="Q13">
        <v>68.29000091552734</v>
      </c>
      <c r="R13">
        <v>68.72000122070312</v>
      </c>
      <c r="S13">
        <v>66.61000061035156</v>
      </c>
      <c r="T13">
        <v>63.88999938964844</v>
      </c>
      <c r="U13">
        <v>66.44000244140625</v>
      </c>
      <c r="V13">
        <v>65.83999633789062</v>
      </c>
      <c r="W13">
        <v>67.58999633789062</v>
      </c>
      <c r="X13">
        <v>65.88999938964844</v>
      </c>
      <c r="Y13">
        <v>63.7400016784668</v>
      </c>
      <c r="Z13">
        <v>63.40999984741211</v>
      </c>
      <c r="AA13">
        <v>64.08000183105469</v>
      </c>
      <c r="AB13">
        <v>63.90999984741211</v>
      </c>
      <c r="AC13">
        <v>61.81999969482422</v>
      </c>
      <c r="AD13">
        <v>60.84000015258789</v>
      </c>
      <c r="AE13">
        <v>62.22000122070312</v>
      </c>
      <c r="AF13">
        <v>63.7599983215332</v>
      </c>
      <c r="AG13">
        <v>64.06999969482422</v>
      </c>
      <c r="AH13">
        <v>66.98999786376953</v>
      </c>
      <c r="AI13">
        <v>64.19999694824219</v>
      </c>
      <c r="AJ13">
        <v>65.76999664306641</v>
      </c>
      <c r="AK13">
        <v>66.56999969482422</v>
      </c>
      <c r="AL13">
        <v>64.87999725341797</v>
      </c>
      <c r="AM13">
        <v>67.06999969482422</v>
      </c>
      <c r="AN13">
        <v>66.04000091552734</v>
      </c>
      <c r="AO13">
        <v>67.47000122070312</v>
      </c>
      <c r="AP13">
        <v>64.41000366210938</v>
      </c>
      <c r="AQ13">
        <v>65.22000122070312</v>
      </c>
      <c r="AR13">
        <v>64.69999694824219</v>
      </c>
      <c r="AS13">
        <v>64.13999938964844</v>
      </c>
      <c r="AT13">
        <v>65.01999664306641</v>
      </c>
      <c r="AU13">
        <v>65.65000152587891</v>
      </c>
      <c r="AV13">
        <v>65</v>
      </c>
      <c r="AW13">
        <v>65.47000122070312</v>
      </c>
      <c r="AX13">
        <v>65.33000183105469</v>
      </c>
      <c r="AY13">
        <v>64.75</v>
      </c>
      <c r="AZ13">
        <v>64.33999633789062</v>
      </c>
      <c r="BA13">
        <v>65.23000335693359</v>
      </c>
      <c r="BB13">
        <v>67.33999633789062</v>
      </c>
      <c r="BC13">
        <v>68.01999664306641</v>
      </c>
      <c r="BD13">
        <v>67.04000091552734</v>
      </c>
      <c r="BE13">
        <v>64.58000183105469</v>
      </c>
      <c r="BF13">
        <v>64.05999755859375</v>
      </c>
      <c r="BG13">
        <v>65.40000152587891</v>
      </c>
      <c r="BH13">
        <v>66.41999816894531</v>
      </c>
      <c r="BI13">
        <v>69.41000366210938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2026-09-16T00:26:54Z</dcterms:created>
  <dcterms:modified xsi:type="dcterms:W3CDTF">2026-09-16T00:26:54Z</dcterms:modified>
</cp:coreProperties>
</file>