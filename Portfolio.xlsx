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Позиции!$A$4:$P$13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<sst xmlns="http://schemas.openxmlformats.org/spreadsheetml/2006/main" count="393" uniqueCount="241">
  <si>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</si>
  <si>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</si>
  <si>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</si>
  <si>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</si>
  <si>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</si>
  <si>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</si>
  <si>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</si>
  <si>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</si>
  <si>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</si>
  <si>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</si>
  <si>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</si>
  <si>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</si>
  <si>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</si>
  <si>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</si>
  <si>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</si>
  <si>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</si>
  <si>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</si>
  <si>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</si>
  <si>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</si>
  <si>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</si>
  <si>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</si>
  <si>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</si>
  <si>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</si>
  <si>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</si>
  <si>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</si>
  <si>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</si>
  <si>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</si>
  <si>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</si>
  <si>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</si>
  <si>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</si>
  <si>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</si>
  <si>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</si>
  <si>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</si>
  <si>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</si>
  <si>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</si>
  <si>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</si>
  <si>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</si>
  <si>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</si>
  <si>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</si>
  <si>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</si>
  <si>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</si>
  <si>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</si>
  <si>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</si>
  <si>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</si>
  <si>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</si>
  <si>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</si>
  <si>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</si>
  <si>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</si>
  <si>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</si>
  <si>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</si>
  <si>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</si>
  <si>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</si>
  <si>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</si>
  <si>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</si>
  <si>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</si>
  <si>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</si>
  <si>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</si>
  <si>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</si>
  <si>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</si>
  <si>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</si>
  <si>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</si>
  <si>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</si>
  <si>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</si>
  <si>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</si>
  <si>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</si>
  <si>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</si>
  <si>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</si>
  <si>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</si>
  <si>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</si>
  <si>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</si>
  <si>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</si>
  <si>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</si>
  <si>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</si>
  <si>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</si>
  <si>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</si>
  <si>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</si>
  <si>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</si>
  <si>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</si>
  <si>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</si>
  <si>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</si>
  <si>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</si>
  <si>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</si>
  <si>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</si>
  <si>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</si>
  <si>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</si>
  <si>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</si>
  <si>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</si>
  <si>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</si>
  <si>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CRM</t>
  </si>
  <si>
    <t>Salesforce</t>
  </si>
  <si>
    <t>TRV</t>
  </si>
  <si>
    <t>Travelers Companies (The)</t>
  </si>
  <si>
    <t>Financials</t>
  </si>
  <si>
    <t>GOOG</t>
  </si>
  <si>
    <t>Alphabet Inc. (Class C)</t>
  </si>
  <si>
    <t>Communication Services</t>
  </si>
  <si>
    <t>GOOGL</t>
  </si>
  <si>
    <t>Alphabet Inc. (Class A)</t>
  </si>
  <si>
    <t>TGT</t>
  </si>
  <si>
    <t>Target Corporation</t>
  </si>
  <si>
    <t>Consumer Staples</t>
  </si>
  <si>
    <t>HPE</t>
  </si>
  <si>
    <t>Hewlett Packard Enterprise</t>
  </si>
  <si>
    <t>CNC</t>
  </si>
  <si>
    <t>Centene Corporation</t>
  </si>
  <si>
    <t>Health Care</t>
  </si>
  <si>
    <t>ALL</t>
  </si>
  <si>
    <t>Allstate</t>
  </si>
  <si>
    <t>DLTR</t>
  </si>
  <si>
    <t>Dollar Tree</t>
  </si>
  <si>
    <t>AMZN</t>
  </si>
  <si>
    <t>Amazon</t>
  </si>
  <si>
    <t>Consumer Discretionary</t>
  </si>
  <si>
    <t>INTC</t>
  </si>
  <si>
    <t>Intel</t>
  </si>
  <si>
    <t>INCY</t>
  </si>
  <si>
    <t>Incyte</t>
  </si>
  <si>
    <t>NTAP</t>
  </si>
  <si>
    <t>NetApp</t>
  </si>
  <si>
    <t>GS</t>
  </si>
  <si>
    <t>Goldman Sachs</t>
  </si>
  <si>
    <t>COF</t>
  </si>
  <si>
    <t>Capital One</t>
  </si>
  <si>
    <t>NVDA</t>
  </si>
  <si>
    <t>Nvidia</t>
  </si>
  <si>
    <t>SMCI</t>
  </si>
  <si>
    <t>Supermicro</t>
  </si>
  <si>
    <t>BMY</t>
  </si>
  <si>
    <t>Bristol Myers Squibb</t>
  </si>
  <si>
    <t>BIIB</t>
  </si>
  <si>
    <t>Biogen</t>
  </si>
  <si>
    <t>ZBRA</t>
  </si>
  <si>
    <t>Zebra Technologies</t>
  </si>
  <si>
    <t>CVX</t>
  </si>
  <si>
    <t>Chevron Corporation</t>
  </si>
  <si>
    <t>MS</t>
  </si>
  <si>
    <t>Morgan Stanley</t>
  </si>
  <si>
    <t>STX</t>
  </si>
  <si>
    <t>Seagate Technology</t>
  </si>
  <si>
    <t>HPQ</t>
  </si>
  <si>
    <t>HP Inc.</t>
  </si>
  <si>
    <t>REGN</t>
  </si>
  <si>
    <t>Regeneron Pharmaceuticals</t>
  </si>
  <si>
    <t>WBD</t>
  </si>
  <si>
    <t>Warner Bros. Discovery</t>
  </si>
  <si>
    <t>PRU</t>
  </si>
  <si>
    <t>Prudential Financial</t>
  </si>
  <si>
    <t>COP</t>
  </si>
  <si>
    <t>ConocoPhillips</t>
  </si>
  <si>
    <t>EOG</t>
  </si>
  <si>
    <t>EOG Resources</t>
  </si>
  <si>
    <t>NEM</t>
  </si>
  <si>
    <t>Newmont</t>
  </si>
  <si>
    <t>Materials</t>
  </si>
  <si>
    <t>HUM</t>
  </si>
  <si>
    <t>Humana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</si>
  <si>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</si>
  <si>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</si>
  <si>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</si>
  <si>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</si>
  <si>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</si>
  <si>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</si>
  <si>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</si>
  <si>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</si>
  <si>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</si>
  <si>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</si>
  <si>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</si>
  <si>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</si>
  <si>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</si>
  <si>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</si>
  <si>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</si>
  <si>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</si>
  <si>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</si>
  <si>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</si>
  <si>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</si>
  <si>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</si>
  <si>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</si>
  <si>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</si>
  <si>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</si>
  <si>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</si>
  <si>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</si>
  <si>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</si>
  <si>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2026-09-10 00:17 UTC · данные на 2026-09-08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</si>
  <si>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</si>
  <si>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</si>
  <si>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</si>
  <si>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</si>
  <si>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</si>
  <si>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</si>
  <si>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</si>
  <si>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</si>
  <si>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</si>
  <si>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</si>
  <si>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</si>
  <si>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</si>
  <si>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</si>
  <si>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</si>
  <si>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</si>
  <si>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</si>
  <si>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</si>
  <si>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</si>
  <si>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</si>
  <si>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</si>
  <si>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</si>
  <si>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</si>
  <si>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</si>
  <si>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</si>
  <si>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</si>
  <si>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</si>
  <si>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2026-09-10 00:17 UTC</t>
  </si>
  <si>
    <t>Дата данных</t>
  </si>
  <si>
    <t>Тикеров во вселенной</t>
  </si>
  <si>
    <t>503</t>
  </si>
  <si>
    <t>Прошли фильтры</t>
  </si>
  <si>
    <t>415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</si>
  <si>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</si>
  <si>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</si>
  <si>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</si>
  <si>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</si>
  <si>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</si>
  <si>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</si>
  <si>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</si>
  <si>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</si>
  <si>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</si>
  <si>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2026-09-06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</si>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</sst>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Energy</c:v>
                </c:pt>
                <c:pt idx="1">
                  <c:v>Information Technology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2396.72</c:v>
                </c:pt>
                <c:pt idx="1">
                  <c:v>2104.45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Капитал!$A$5:$A$15</c:f>
              <c:strCache>
                <c:ptCount val="1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</c:strCache>
            </c:strRef>
          </c:cat>
          <c:val>
            <c:numRef>
              <c:f>Капитал!$D$5:$D$15</c:f>
              <c:numCache>
                <c:formatCode>General</c:formatCode>
                <c:ptCount val="11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Капитал!$A$5:$A$15</c:f>
              <c:strCache>
                <c:ptCount val="1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</c:strCache>
            </c:strRef>
          </c:cat>
          <c:val>
            <c:numRef>
              <c:f>Капитал!$F$5:$F$15</c:f>
              <c:numCache>
                <c:formatCode>General</c:formatCode>
                <c:ptCount val="11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Капитал!$A$5:$A$15</c:f>
              <c:strCache>
                <c:ptCount val="1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</c:strCache>
            </c:strRef>
          </c:cat>
          <c:val>
            <c:numRef>
              <c:f>Капитал!$D$5:$D$15</c:f>
              <c:numCache>
                <c:formatCode>General</c:formatCode>
                <c:ptCount val="11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Капитал!$A$5:$A$15</c:f>
              <c:strCache>
                <c:ptCount val="1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</c:strCache>
            </c:strRef>
          </c:cat>
          <c:val>
            <c:numRef>
              <c:f>Капитал!$F$5:$F$15</c:f>
              <c:numCache>
                <c:formatCode>General</c:formatCode>
                <c:ptCount val="11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181</v>
      </c>
    </row>
    <row r="3" spans="2:8">
      <c r="B3" s="2" t="s">
        <v>182</v>
      </c>
    </row>
    <row r="5" spans="2:8">
      <c r="B5" s="3" t="s">
        <v>62</v>
      </c>
      <c r="D5" s="3" t="s">
        <v>183</v>
      </c>
      <c r="F5" s="3" t="s">
        <v>184</v>
      </c>
      <c r="H5" s="3" t="s">
        <v>185</v>
      </c>
    </row>
    <row r="6" spans="2:8">
      <c r="B6" s="4">
        <v>10216.05</v>
      </c>
      <c r="D6" s="5">
        <v>0.02160499999999987</v>
      </c>
      <c r="F6" s="5">
        <v>0.008801999999999977</v>
      </c>
      <c r="H6" s="6">
        <v>-0.005570108480505209</v>
      </c>
    </row>
    <row r="8" spans="2:8">
      <c r="B8" s="3" t="s">
        <v>186</v>
      </c>
      <c r="D8" s="3" t="s">
        <v>187</v>
      </c>
      <c r="F8" s="3" t="s">
        <v>188</v>
      </c>
      <c r="H8" s="3" t="s">
        <v>190</v>
      </c>
    </row>
    <row r="9" spans="2:8">
      <c r="B9" s="7">
        <v>4.478979173158216</v>
      </c>
      <c r="D9" s="7">
        <v>0</v>
      </c>
      <c r="F9" s="7" t="s">
        <v>189</v>
      </c>
      <c r="H9" s="7">
        <v>9</v>
      </c>
    </row>
    <row r="12" spans="2:8">
      <c r="B12" s="8" t="s">
        <v>191</v>
      </c>
    </row>
    <row r="13" spans="2:8">
      <c r="B13" s="9" t="s">
        <v>60</v>
      </c>
      <c r="C13" s="10">
        <v>5714.879999999998</v>
      </c>
    </row>
    <row r="14" spans="2:8">
      <c r="B14" s="9" t="s">
        <v>61</v>
      </c>
      <c r="C14" s="10">
        <v>4501.17</v>
      </c>
    </row>
    <row r="15" spans="2:8">
      <c r="B15" s="9" t="s">
        <v>62</v>
      </c>
      <c r="C15" s="10">
        <v>10216.05</v>
      </c>
    </row>
    <row r="16" spans="2:8">
      <c r="B16" s="9" t="s">
        <v>192</v>
      </c>
      <c r="C16" s="10">
        <v>10000</v>
      </c>
    </row>
    <row r="17" spans="1:3">
      <c r="B17" s="9" t="s">
        <v>193</v>
      </c>
      <c r="C17" s="11">
        <v>21</v>
      </c>
    </row>
    <row r="18" spans="1:3">
      <c r="B18" s="9" t="s">
        <v>194</v>
      </c>
      <c r="C18" s="11">
        <v>10</v>
      </c>
    </row>
    <row r="19" spans="1:3">
      <c r="B19" s="9" t="s">
        <v>195</v>
      </c>
      <c r="C19" s="11">
        <v>2</v>
      </c>
    </row>
    <row r="20" spans="1:3">
      <c r="B20" s="9" t="s">
        <v>196</v>
      </c>
      <c r="C20" s="11">
        <v>21</v>
      </c>
    </row>
    <row r="21" spans="1:3">
      <c r="B21" s="9" t="s">
        <v>197</v>
      </c>
      <c r="C21" s="9" t="s">
        <v>189</v>
      </c>
    </row>
    <row r="22" spans="1:3">
      <c r="B22" s="9" t="s">
        <v>198</v>
      </c>
      <c r="C22" s="9" t="s">
        <v>189</v>
      </c>
    </row>
    <row r="23" spans="1:3">
      <c r="B23" s="9" t="s">
        <v>199</v>
      </c>
      <c r="C23" s="9" t="s">
        <v>189</v>
      </c>
    </row>
    <row r="24" spans="1:3">
      <c r="B24" s="9" t="s">
        <v>200</v>
      </c>
      <c r="C24" s="9" t="s">
        <v>189</v>
      </c>
    </row>
    <row r="25" spans="1:3">
      <c r="B25" s="9" t="s">
        <v>201</v>
      </c>
      <c r="C25" s="12">
        <v>0.1220294240725164</v>
      </c>
    </row>
    <row r="26" spans="1:3">
      <c r="B26" s="9" t="s">
        <v>202</v>
      </c>
      <c r="C26" s="11">
        <v>11</v>
      </c>
    </row>
    <row r="28" spans="1:3">
      <c r="B28" s="13" t="s">
        <v>203</v>
      </c>
      <c r="C28" s="10">
        <f>C13+IFERROR(SUM('Позиции'!I5:I200),0)</f>
        <v>10216.05</v>
      </c>
    </row>
    <row r="29" spans="1:3">
      <c r="B29" s="14" t="s">
        <v>204</v>
      </c>
    </row>
    <row r="31" spans="1:3">
      <c r="B31" s="8" t="s">
        <v>205</v>
      </c>
    </row>
    <row r="32" spans="1:3" ht="30" customHeight="1">
      <c r="A32" s="15" t="s">
        <v>13</v>
      </c>
      <c r="B32" s="15" t="s">
        <v>19</v>
      </c>
    </row>
    <row r="33" spans="2:3">
      <c r="B33" s="9" t="s">
        <v>38</v>
      </c>
      <c r="C33" s="10">
        <v>2396.72</v>
      </c>
    </row>
    <row r="34" spans="2:3">
      <c r="B34" s="9" t="s">
        <v>28</v>
      </c>
      <c r="C34" s="10">
        <v>2104.45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9</v>
      </c>
    </row>
    <row r="2" spans="1:16" x14ac:dyDescent="0.25">
      <c r="A2" s="2" t="s">
        <v>10</v>
      </c>
    </row>
    <row r="4" spans="1:16" ht="30" customHeight="1" x14ac:dyDescent="0.25">
      <c r="A4" s="15" t="s">
        <v>11</v>
      </c>
      <c r="B4" s="15" t="s">
        <v>12</v>
      </c>
      <c r="C4" s="15" t="s">
        <v>13</v>
      </c>
      <c r="D4" s="15" t="s">
        <v>14</v>
      </c>
      <c r="E4" s="15" t="s">
        <v>15</v>
      </c>
      <c r="F4" s="15" t="s">
        <v>16</v>
      </c>
      <c r="G4" s="15" t="s">
        <v>17</v>
      </c>
      <c r="H4" s="15" t="s">
        <v>18</v>
      </c>
      <c r="I4" s="15" t="s">
        <v>19</v>
      </c>
      <c r="J4" s="15" t="s">
        <v>20</v>
      </c>
      <c r="K4" s="15" t="s">
        <v>21</v>
      </c>
      <c r="L4" s="15" t="s">
        <v>22</v>
      </c>
      <c r="M4" s="15" t="s">
        <v>23</v>
      </c>
      <c r="N4" s="15" t="s">
        <v>24</v>
      </c>
      <c r="O4" s="15" t="s">
        <v>25</v>
      </c>
      <c r="P4" s="15" t="s">
        <v>26</v>
      </c>
    </row>
    <row r="5" spans="1:16" x14ac:dyDescent="0.25">
      <c r="A5" s="9" t="s">
        <v>0</v>
      </c>
      <c r="B5" s="9" t="s">
        <v>27</v>
      </c>
      <c r="C5" s="9" t="s">
        <v>28</v>
      </c>
      <c r="D5" s="16" t="s">
        <v>29</v>
      </c>
      <c r="E5" s="10">
        <v>443.1115</v>
      </c>
      <c r="F5" s="17">
        <v>1.074651</v>
      </c>
      <c r="G5" s="10">
        <v>476.19</v>
      </c>
      <c r="H5" s="18">
        <v>524.14</v>
      </c>
      <c r="I5" s="10">
        <f>F5*H5</f>
        <v>563.26757514</v>
      </c>
      <c r="J5" s="10">
        <f>I5-G5</f>
        <v>87.07757513999996</v>
      </c>
      <c r="K5" s="19">
        <f>IFERROR(J5/G5,0)</f>
        <v>0.18286309065709058</v>
      </c>
      <c r="L5" s="11">
        <v>9</v>
      </c>
      <c r="M5" s="11">
        <f>MAX(0,21-L5)</f>
        <v>12</v>
      </c>
      <c r="N5" s="20">
        <v>2.927623067210654</v>
      </c>
      <c r="O5" s="9" t="s">
        <v>30</v>
      </c>
    </row>
    <row r="6" spans="1:16" x14ac:dyDescent="0.25">
      <c r="A6" s="9" t="s">
        <v>1</v>
      </c>
      <c r="B6" s="9" t="s">
        <v>31</v>
      </c>
      <c r="C6" s="9" t="s">
        <v>28</v>
      </c>
      <c r="D6" s="16" t="s">
        <v>32</v>
      </c>
      <c r="E6" s="10">
        <v>926.2029</v>
      </c>
      <c r="F6" s="17">
        <v>0.5145960000000001</v>
      </c>
      <c r="G6" s="10">
        <v>476.62</v>
      </c>
      <c r="H6" s="18">
        <v>1016.59</v>
      </c>
      <c r="I6" s="10">
        <f>F6*H6</f>
        <v>523.1331476400001</v>
      </c>
      <c r="J6" s="10">
        <f>I6-G6</f>
        <v>46.51314764000006</v>
      </c>
      <c r="K6" s="19">
        <f>IFERROR(J6/G6,0)</f>
        <v>0.09758958423901652</v>
      </c>
      <c r="L6" s="11">
        <v>8</v>
      </c>
      <c r="M6" s="11">
        <f>MAX(0,21-L6)</f>
        <v>13</v>
      </c>
      <c r="N6" s="20">
        <v>1.809956883354321</v>
      </c>
      <c r="O6" s="9" t="s">
        <v>30</v>
      </c>
    </row>
    <row r="7" spans="1:16" x14ac:dyDescent="0.25">
      <c r="A7" s="9" t="s">
        <v>2</v>
      </c>
      <c r="B7" s="9" t="s">
        <v>33</v>
      </c>
      <c r="C7" s="9" t="s">
        <v>28</v>
      </c>
      <c r="D7" s="16" t="s">
        <v>34</v>
      </c>
      <c r="E7" s="10">
        <v>1550.1948</v>
      </c>
      <c r="F7" s="17">
        <v>0.308058</v>
      </c>
      <c r="G7" s="10">
        <v>477.55</v>
      </c>
      <c r="H7" s="18">
        <v>1740</v>
      </c>
      <c r="I7" s="10">
        <f>F7*H7</f>
        <v>536.02092</v>
      </c>
      <c r="J7" s="10">
        <f>I7-G7</f>
        <v>58.470920000000035</v>
      </c>
      <c r="K7" s="19">
        <f>IFERROR(J7/G7,0)</f>
        <v>0.1224393676054864</v>
      </c>
      <c r="L7" s="11">
        <v>7</v>
      </c>
      <c r="M7" s="11">
        <f>MAX(0,21-L7)</f>
        <v>14</v>
      </c>
      <c r="N7" s="20">
        <v>1.655247920227722</v>
      </c>
      <c r="O7" s="9" t="s">
        <v>30</v>
      </c>
    </row>
    <row r="8" spans="1:16" x14ac:dyDescent="0.25">
      <c r="A8" s="9" t="s">
        <v>3</v>
      </c>
      <c r="B8" s="9" t="s">
        <v>35</v>
      </c>
      <c r="C8" s="9" t="s">
        <v>28</v>
      </c>
      <c r="D8" s="16" t="s">
        <v>36</v>
      </c>
      <c r="E8" s="10">
        <v>462.5311</v>
      </c>
      <c r="F8" s="17">
        <v>1.031174</v>
      </c>
      <c r="G8" s="10">
        <v>476.95</v>
      </c>
      <c r="H8" s="18">
        <v>467.46</v>
      </c>
      <c r="I8" s="10">
        <f>F8*H8</f>
        <v>482.03259804</v>
      </c>
      <c r="J8" s="10">
        <f>I8-G8</f>
        <v>5.0825980399999935</v>
      </c>
      <c r="K8" s="19">
        <f>IFERROR(J8/G8,0)</f>
        <v>0.010656458832162687</v>
      </c>
      <c r="L8" s="11">
        <v>6</v>
      </c>
      <c r="M8" s="11">
        <f>MAX(0,21-L8)</f>
        <v>15</v>
      </c>
      <c r="N8" s="20">
        <v>1.135451734784544</v>
      </c>
      <c r="O8" s="9" t="s">
        <v>30</v>
      </c>
    </row>
    <row r="9" spans="1:16" x14ac:dyDescent="0.25">
      <c r="A9" s="9" t="s">
        <v>4</v>
      </c>
      <c r="B9" s="9" t="s">
        <v>37</v>
      </c>
      <c r="C9" s="9" t="s">
        <v>38</v>
      </c>
      <c r="D9" s="16" t="s">
        <v>39</v>
      </c>
      <c r="E9" s="10">
        <v>360.14</v>
      </c>
      <c r="F9" s="17">
        <v>1.321486</v>
      </c>
      <c r="G9" s="10">
        <v>475.92</v>
      </c>
      <c r="H9" s="18">
        <v>370.72</v>
      </c>
      <c r="I9" s="10">
        <f>F9*H9</f>
        <v>489.90128992</v>
      </c>
      <c r="J9" s="10">
        <f>I9-G9</f>
        <v>13.981289919999995</v>
      </c>
      <c r="K9" s="19">
        <f>IFERROR(J9/G9,0)</f>
        <v>0.029377395192469312</v>
      </c>
      <c r="L9" s="11">
        <v>5</v>
      </c>
      <c r="M9" s="11">
        <f>MAX(0,21-L9)</f>
        <v>16</v>
      </c>
      <c r="N9" s="20">
        <v>1.098454348098604</v>
      </c>
      <c r="O9" s="9" t="s">
        <v>30</v>
      </c>
    </row>
    <row r="10" spans="1:16" x14ac:dyDescent="0.25">
      <c r="A10" s="9" t="s">
        <v>5</v>
      </c>
      <c r="B10" s="9" t="s">
        <v>40</v>
      </c>
      <c r="C10" s="9" t="s">
        <v>38</v>
      </c>
      <c r="D10" s="16" t="s">
        <v>41</v>
      </c>
      <c r="E10" s="10">
        <v>380.9704</v>
      </c>
      <c r="F10" s="17">
        <v>1.252643</v>
      </c>
      <c r="G10" s="10">
        <v>477.22</v>
      </c>
      <c r="H10" s="18">
        <v>388.9</v>
      </c>
      <c r="I10" s="10">
        <f>F10*H10</f>
        <v>487.15286269999996</v>
      </c>
      <c r="J10" s="10">
        <f>I10-G10</f>
        <v>9.93286269999993</v>
      </c>
      <c r="K10" s="19">
        <f>IFERROR(J10/G10,0)</f>
        <v>0.020814011776538976</v>
      </c>
      <c r="L10" s="11">
        <v>4</v>
      </c>
      <c r="M10" s="11">
        <f>MAX(0,21-L10)</f>
        <v>17</v>
      </c>
      <c r="N10" s="20">
        <v>0.9280120270881818</v>
      </c>
      <c r="O10" s="9" t="s">
        <v>30</v>
      </c>
    </row>
    <row r="11" spans="1:16" x14ac:dyDescent="0.25">
      <c r="A11" s="9" t="s">
        <v>6</v>
      </c>
      <c r="B11" s="9" t="s">
        <v>42</v>
      </c>
      <c r="C11" s="9" t="s">
        <v>38</v>
      </c>
      <c r="D11" s="16" t="s">
        <v>43</v>
      </c>
      <c r="E11" s="10">
        <v>60.1501</v>
      </c>
      <c r="F11" s="17">
        <v>7.895088</v>
      </c>
      <c r="G11" s="10">
        <v>474.89</v>
      </c>
      <c r="H11" s="18">
        <v>60.04</v>
      </c>
      <c r="I11" s="10">
        <f>F11*H11</f>
        <v>474.02108352</v>
      </c>
      <c r="J11" s="10">
        <f>I11-G11</f>
        <v>-0.8689164799999958</v>
      </c>
      <c r="K11" s="19">
        <f>IFERROR(J11/G11,0)</f>
        <v>-0.0018297215776284946</v>
      </c>
      <c r="L11" s="11">
        <v>1</v>
      </c>
      <c r="M11" s="11">
        <f>MAX(0,21-L11)</f>
        <v>20</v>
      </c>
      <c r="N11" s="20">
        <v>0.8840484909760108</v>
      </c>
      <c r="O11" s="9" t="s">
        <v>30</v>
      </c>
    </row>
    <row r="12" spans="1:16" x14ac:dyDescent="0.25">
      <c r="A12" s="9" t="s">
        <v>7</v>
      </c>
      <c r="B12" s="9" t="s">
        <v>44</v>
      </c>
      <c r="C12" s="9" t="s">
        <v>38</v>
      </c>
      <c r="D12" s="16" t="s">
        <v>43</v>
      </c>
      <c r="E12" s="10">
        <v>251.9059</v>
      </c>
      <c r="F12" s="17">
        <v>1.885188</v>
      </c>
      <c r="G12" s="10">
        <v>474.89</v>
      </c>
      <c r="H12" s="18">
        <v>255.09</v>
      </c>
      <c r="I12" s="10">
        <f>F12*H12</f>
        <v>480.89260692000005</v>
      </c>
      <c r="J12" s="10">
        <f>I12-G12</f>
        <v>6.002606920000062</v>
      </c>
      <c r="K12" s="19">
        <f>IFERROR(J12/G12,0)</f>
        <v>0.012639994356587973</v>
      </c>
      <c r="L12" s="11">
        <v>1</v>
      </c>
      <c r="M12" s="11">
        <f>MAX(0,21-L12)</f>
        <v>20</v>
      </c>
      <c r="N12" s="20">
        <v>0.8298272742812407</v>
      </c>
      <c r="O12" s="9" t="s">
        <v>30</v>
      </c>
    </row>
    <row r="13" spans="1:16" x14ac:dyDescent="0.25">
      <c r="A13" s="9" t="s">
        <v>8</v>
      </c>
      <c r="B13" s="9" t="s">
        <v>45</v>
      </c>
      <c r="C13" s="9" t="s">
        <v>38</v>
      </c>
      <c r="D13" s="16" t="s">
        <v>43</v>
      </c>
      <c r="E13" s="10">
        <v>43.7018</v>
      </c>
      <c r="F13" s="17">
        <v>10.86659</v>
      </c>
      <c r="G13" s="10">
        <v>474.89</v>
      </c>
      <c r="H13" s="18">
        <v>42.77</v>
      </c>
      <c r="I13" s="10">
        <f>F13*H13</f>
        <v>464.76405430000005</v>
      </c>
      <c r="J13" s="10">
        <f>I13-G13</f>
        <v>-10.125945699999932</v>
      </c>
      <c r="K13" s="19">
        <f>IFERROR(J13/G13,0)</f>
        <v>-0.02132271831371461</v>
      </c>
      <c r="L13" s="11">
        <v>1</v>
      </c>
      <c r="M13" s="11">
        <f>MAX(0,21-L13)</f>
        <v>20</v>
      </c>
      <c r="N13" s="20">
        <v>0.7019116395441239</v>
      </c>
      <c r="O13" s="9" t="s">
        <v>30</v>
      </c>
    </row>
    <row r="14" spans="1:16" x14ac:dyDescent="0.25">
      <c r="F14" s="13" t="s">
        <v>46</v>
      </c>
      <c r="G14" s="10">
        <f>SUM(G5:G13)</f>
        <v>4285.12</v>
      </c>
      <c r="I14" s="10">
        <f>SUM(I5:I13)</f>
        <v>4501.17</v>
      </c>
      <c r="J14" s="10">
        <f>SUM(J5:J13)</f>
        <v>216.04999999999984</v>
      </c>
      <c r="K14" s="19">
        <f>IFERROR(J14/G14,0)</f>
        <v>0</v>
      </c>
    </row>
  </sheetData>
  <autoFilter ref="A4:P13"/>
  <conditionalFormatting sqref="K5:K13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3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M5:M13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47</v>
      </c>
    </row>
    <row r="2" spans="1:15">
      <c r="A2" s="2" t="s">
        <v>48</v>
      </c>
    </row>
    <row r="4" spans="1:15" ht="30" customHeight="1">
      <c r="A4" s="15" t="s">
        <v>49</v>
      </c>
      <c r="B4" s="15" t="s">
        <v>11</v>
      </c>
      <c r="C4" s="15" t="s">
        <v>13</v>
      </c>
      <c r="D4" s="15" t="s">
        <v>50</v>
      </c>
      <c r="E4" s="15" t="s">
        <v>15</v>
      </c>
      <c r="F4" s="15" t="s">
        <v>51</v>
      </c>
      <c r="G4" s="15" t="s">
        <v>52</v>
      </c>
      <c r="H4" s="15" t="s">
        <v>16</v>
      </c>
      <c r="I4" s="15" t="s">
        <v>17</v>
      </c>
      <c r="J4" s="15" t="s">
        <v>53</v>
      </c>
      <c r="K4" s="15" t="s">
        <v>20</v>
      </c>
      <c r="L4" s="15" t="s">
        <v>21</v>
      </c>
      <c r="M4" s="15" t="s">
        <v>54</v>
      </c>
      <c r="N4" s="15" t="s">
        <v>24</v>
      </c>
      <c r="O4" s="15" t="s">
        <v>55</v>
      </c>
    </row>
    <row r="5" spans="1:15">
      <c r="A5" s="14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57</v>
      </c>
    </row>
    <row r="2" spans="1:6">
      <c r="A2" s="2" t="s">
        <v>58</v>
      </c>
    </row>
    <row r="4" spans="1:6" ht="30" customHeight="1">
      <c r="A4" s="15" t="s">
        <v>59</v>
      </c>
      <c r="B4" s="15" t="s">
        <v>60</v>
      </c>
      <c r="C4" s="15" t="s">
        <v>61</v>
      </c>
      <c r="D4" s="15" t="s">
        <v>62</v>
      </c>
      <c r="E4" s="15" t="s">
        <v>63</v>
      </c>
      <c r="F4" s="15" t="s">
        <v>64</v>
      </c>
    </row>
    <row r="5" spans="1:6">
      <c r="A5" s="16" t="s">
        <v>65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29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32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34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36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39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41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66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67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43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68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69</v>
      </c>
    </row>
    <row r="2" spans="1:20" x14ac:dyDescent="0.25">
      <c r="A2" s="2" t="s">
        <v>70</v>
      </c>
    </row>
    <row r="4" spans="1:20" ht="30" customHeight="1" x14ac:dyDescent="0.25">
      <c r="A4" s="15" t="s">
        <v>49</v>
      </c>
      <c r="B4" s="15" t="s">
        <v>11</v>
      </c>
      <c r="C4" s="15" t="s">
        <v>12</v>
      </c>
      <c r="D4" s="15" t="s">
        <v>13</v>
      </c>
      <c r="E4" s="15" t="s">
        <v>71</v>
      </c>
      <c r="F4" s="15" t="s">
        <v>72</v>
      </c>
      <c r="G4" s="15" t="s">
        <v>73</v>
      </c>
      <c r="H4" s="15" t="s">
        <v>74</v>
      </c>
      <c r="I4" s="15" t="s">
        <v>75</v>
      </c>
      <c r="J4" s="15" t="s">
        <v>76</v>
      </c>
      <c r="K4" s="15" t="s">
        <v>77</v>
      </c>
      <c r="L4" s="15" t="s">
        <v>78</v>
      </c>
      <c r="M4" s="15" t="s">
        <v>79</v>
      </c>
      <c r="N4" s="15" t="s">
        <v>80</v>
      </c>
      <c r="O4" s="15" t="s">
        <v>81</v>
      </c>
      <c r="P4" s="15" t="s">
        <v>82</v>
      </c>
      <c r="Q4" s="15" t="s">
        <v>83</v>
      </c>
      <c r="R4" s="15" t="s">
        <v>84</v>
      </c>
      <c r="S4" s="15" t="s">
        <v>85</v>
      </c>
      <c r="T4" s="15" t="s">
        <v>86</v>
      </c>
    </row>
    <row r="5" spans="1:20" x14ac:dyDescent="0.25">
      <c r="A5" s="11">
        <v>1</v>
      </c>
      <c r="B5" s="9" t="s">
        <v>2</v>
      </c>
      <c r="C5" s="9" t="s">
        <v>33</v>
      </c>
      <c r="D5" s="9" t="s">
        <v>28</v>
      </c>
      <c r="E5" s="10">
        <v>1737.989990234375</v>
      </c>
      <c r="F5" s="17">
        <v>1.101843084316499</v>
      </c>
      <c r="G5" s="20">
        <v>-0.5564495730839067</v>
      </c>
      <c r="H5" s="20">
        <v>2.058086531115069</v>
      </c>
      <c r="I5" s="20">
        <v>4.120745224686987</v>
      </c>
      <c r="J5" s="20">
        <v>2.08157200151033</v>
      </c>
      <c r="K5" s="20">
        <v>0.08299030126699286</v>
      </c>
      <c r="L5" s="20">
        <v>-3.416720321042702</v>
      </c>
      <c r="M5" s="20">
        <v>0.3901052835239491</v>
      </c>
      <c r="N5" s="20">
        <v>23.583628</v>
      </c>
      <c r="O5" s="20">
        <v>16.475557</v>
      </c>
      <c r="P5" s="12">
        <v>0.9164</v>
      </c>
      <c r="Q5" s="12">
        <v>3.716</v>
      </c>
      <c r="R5" s="12">
        <v>1.952100365010421</v>
      </c>
      <c r="S5" s="11">
        <v>61.1120814610072</v>
      </c>
      <c r="T5" s="9" t="s">
        <v>87</v>
      </c>
    </row>
    <row r="6" spans="1:20" x14ac:dyDescent="0.25">
      <c r="A6" s="11">
        <v>2</v>
      </c>
      <c r="B6" s="9" t="s">
        <v>1</v>
      </c>
      <c r="C6" s="9" t="s">
        <v>31</v>
      </c>
      <c r="D6" s="9" t="s">
        <v>28</v>
      </c>
      <c r="E6" s="10">
        <v>1000.260009765625</v>
      </c>
      <c r="F6" s="17">
        <v>1.074633121175905</v>
      </c>
      <c r="G6" s="20">
        <v>-0.5381709417593455</v>
      </c>
      <c r="H6" s="20">
        <v>1.814060278794422</v>
      </c>
      <c r="I6" s="20">
        <v>3.983916492932042</v>
      </c>
      <c r="J6" s="20">
        <v>2.050460594415619</v>
      </c>
      <c r="K6" s="20">
        <v>0.4798559392469772</v>
      </c>
      <c r="L6" s="20">
        <v>-3.416720321042702</v>
      </c>
      <c r="M6" s="20">
        <v>0.1893115627564228</v>
      </c>
      <c r="N6" s="20">
        <v>22.98937</v>
      </c>
      <c r="O6" s="20">
        <v>11.394834</v>
      </c>
      <c r="P6" s="12">
        <v>0.66638</v>
      </c>
      <c r="Q6" s="12">
        <v>3.457</v>
      </c>
      <c r="R6" s="12">
        <v>1.570723581010705</v>
      </c>
      <c r="S6" s="11">
        <v>57.6626588022908</v>
      </c>
      <c r="T6" s="9" t="s">
        <v>87</v>
      </c>
    </row>
    <row r="7" spans="1:20" x14ac:dyDescent="0.25">
      <c r="A7" s="11">
        <v>3</v>
      </c>
      <c r="B7" s="9" t="s">
        <v>4</v>
      </c>
      <c r="C7" s="9" t="s">
        <v>37</v>
      </c>
      <c r="D7" s="9" t="s">
        <v>38</v>
      </c>
      <c r="E7" s="10">
        <v>382.8500061035156</v>
      </c>
      <c r="F7" s="17">
        <v>1.008299237621722</v>
      </c>
      <c r="G7" s="20">
        <v>0.7163099250210818</v>
      </c>
      <c r="H7" s="20">
        <v>-0.6808483021094016</v>
      </c>
      <c r="I7" s="20">
        <v>2.885035079678366</v>
      </c>
      <c r="J7" s="20">
        <v>2.192941818971337</v>
      </c>
      <c r="K7" s="20">
        <v>0.6066252760202447</v>
      </c>
      <c r="L7" s="20">
        <v>0.1212986880835318</v>
      </c>
      <c r="M7" s="20">
        <v>-0.4769978576405967</v>
      </c>
      <c r="N7" s="20">
        <v>15.453106</v>
      </c>
      <c r="O7" s="20">
        <v>4.269492</v>
      </c>
      <c r="P7" s="12">
        <v>0.27637</v>
      </c>
      <c r="Q7" s="12">
        <v>0.517</v>
      </c>
      <c r="R7" s="12">
        <v>0.7881713448812837</v>
      </c>
      <c r="S7" s="11">
        <v>79.30760239290296</v>
      </c>
      <c r="T7" s="9" t="s">
        <v>87</v>
      </c>
    </row>
    <row r="8" spans="1:20" x14ac:dyDescent="0.25">
      <c r="A8" s="11">
        <v>4</v>
      </c>
      <c r="B8" s="9" t="s">
        <v>5</v>
      </c>
      <c r="C8" s="9" t="s">
        <v>40</v>
      </c>
      <c r="D8" s="9" t="s">
        <v>38</v>
      </c>
      <c r="E8" s="10">
        <v>397.7699890136719</v>
      </c>
      <c r="F8" s="17">
        <v>0.9856850548435461</v>
      </c>
      <c r="G8" s="20">
        <v>0.704035078477925</v>
      </c>
      <c r="H8" s="20">
        <v>-0.5743881810314097</v>
      </c>
      <c r="I8" s="20">
        <v>2.454207309239585</v>
      </c>
      <c r="J8" s="20">
        <v>2.148174269992236</v>
      </c>
      <c r="K8" s="20">
        <v>0.7742712560795861</v>
      </c>
      <c r="L8" s="20">
        <v>0.1706484844696534</v>
      </c>
      <c r="M8" s="20">
        <v>-0.5270452754601733</v>
      </c>
      <c r="N8" s="20">
        <v>13.475398</v>
      </c>
      <c r="O8" s="20">
        <v>5.769173</v>
      </c>
      <c r="P8" s="12">
        <v>0.42099</v>
      </c>
      <c r="Q8" s="12">
        <v>0.537</v>
      </c>
      <c r="R8" s="12">
        <v>0.8561956548441085</v>
      </c>
      <c r="S8" s="11">
        <v>80.84519646228173</v>
      </c>
      <c r="T8" s="9" t="s">
        <v>87</v>
      </c>
    </row>
    <row r="9" spans="1:20" x14ac:dyDescent="0.25">
      <c r="A9" s="11">
        <v>5</v>
      </c>
      <c r="B9" s="9" t="s">
        <v>0</v>
      </c>
      <c r="C9" s="9" t="s">
        <v>27</v>
      </c>
      <c r="D9" s="9" t="s">
        <v>28</v>
      </c>
      <c r="E9" s="10">
        <v>533.8800048828125</v>
      </c>
      <c r="F9" s="17">
        <v>0.9764385260913725</v>
      </c>
      <c r="G9" s="20">
        <v>-0.2096896716004668</v>
      </c>
      <c r="H9" s="20">
        <v>-0.8459922326108509</v>
      </c>
      <c r="I9" s="20">
        <v>2.195812652927404</v>
      </c>
      <c r="J9" s="20">
        <v>2.925093281761714</v>
      </c>
      <c r="K9" s="20">
        <v>1.605257194274964</v>
      </c>
      <c r="L9" s="20">
        <v>-2.556865290901396</v>
      </c>
      <c r="M9" s="20">
        <v>0.1651653564628242</v>
      </c>
      <c r="N9" s="20">
        <v>30.490984</v>
      </c>
      <c r="O9" s="20">
        <v>-236.953</v>
      </c>
      <c r="P9" s="12">
        <v>0</v>
      </c>
      <c r="Q9" s="12">
        <v>0.577</v>
      </c>
      <c r="R9" s="12">
        <v>2.661298429062968</v>
      </c>
      <c r="S9" s="11">
        <v>65.08857762491189</v>
      </c>
      <c r="T9" s="9" t="s">
        <v>87</v>
      </c>
    </row>
    <row r="10" spans="1:20" x14ac:dyDescent="0.25">
      <c r="A10" s="11">
        <v>6</v>
      </c>
      <c r="B10" s="9" t="s">
        <v>7</v>
      </c>
      <c r="C10" s="9" t="s">
        <v>44</v>
      </c>
      <c r="D10" s="9" t="s">
        <v>38</v>
      </c>
      <c r="E10" s="10">
        <v>259.1400146484375</v>
      </c>
      <c r="F10" s="17">
        <v>0.8497603086029423</v>
      </c>
      <c r="G10" s="20">
        <v>0.4937473502003348</v>
      </c>
      <c r="H10" s="20">
        <v>-0.7878254537509429</v>
      </c>
      <c r="I10" s="20">
        <v>2.423226908404409</v>
      </c>
      <c r="J10" s="20">
        <v>1.976963435581927</v>
      </c>
      <c r="K10" s="20">
        <v>0.6899308401855347</v>
      </c>
      <c r="L10" s="20">
        <v>0.3912061011603029</v>
      </c>
      <c r="M10" s="20">
        <v>-0.6842241279983566</v>
      </c>
      <c r="N10" s="20">
        <v>14.559931</v>
      </c>
      <c r="O10" s="20">
        <v>3.2307048</v>
      </c>
      <c r="P10" s="12">
        <v>0.23452999</v>
      </c>
      <c r="Q10" s="12">
        <v>0.531</v>
      </c>
      <c r="R10" s="12">
        <v>0.6098574883208787</v>
      </c>
      <c r="S10" s="11">
        <v>77.20479964933293</v>
      </c>
      <c r="T10" s="9" t="s">
        <v>87</v>
      </c>
    </row>
    <row r="11" spans="1:20" x14ac:dyDescent="0.25">
      <c r="A11" s="11">
        <v>7</v>
      </c>
      <c r="B11" s="9" t="s">
        <v>88</v>
      </c>
      <c r="C11" s="9" t="s">
        <v>89</v>
      </c>
      <c r="D11" s="9" t="s">
        <v>28</v>
      </c>
      <c r="E11" s="10">
        <v>249.1199951171875</v>
      </c>
      <c r="F11" s="17">
        <v>0.8469310645592527</v>
      </c>
      <c r="G11" s="20">
        <v>0.313884107527872</v>
      </c>
      <c r="H11" s="20">
        <v>0.5379536582452412</v>
      </c>
      <c r="I11" s="20">
        <v>0.202940183485447</v>
      </c>
      <c r="J11" s="20">
        <v>1.150196583022348</v>
      </c>
      <c r="K11" s="20">
        <v>3.531116261499869</v>
      </c>
      <c r="L11" s="20">
        <v>-1.568900752815953</v>
      </c>
      <c r="M11" s="20">
        <v>0.1175805052340104</v>
      </c>
      <c r="N11" s="20">
        <v>23.76077</v>
      </c>
      <c r="O11" s="20">
        <v>5.559058</v>
      </c>
      <c r="P11" s="12">
        <v>0.19381</v>
      </c>
      <c r="Q11" s="12">
        <v>0.108</v>
      </c>
      <c r="R11" s="12">
        <v>0.2595584027274918</v>
      </c>
      <c r="S11" s="11">
        <v>67.55178261269285</v>
      </c>
      <c r="T11" s="9" t="s">
        <v>87</v>
      </c>
    </row>
    <row r="12" spans="1:20" x14ac:dyDescent="0.25">
      <c r="A12" s="11">
        <v>8</v>
      </c>
      <c r="B12" s="9" t="s">
        <v>90</v>
      </c>
      <c r="C12" s="9" t="s">
        <v>91</v>
      </c>
      <c r="D12" s="9" t="s">
        <v>92</v>
      </c>
      <c r="E12" s="10">
        <v>365.6600036621094</v>
      </c>
      <c r="F12" s="17">
        <v>0.8367848340502836</v>
      </c>
      <c r="G12" s="20">
        <v>1.215230467965422</v>
      </c>
      <c r="H12" s="20">
        <v>-0.1214453608752054</v>
      </c>
      <c r="I12" s="20">
        <v>-0.3758707799348074</v>
      </c>
      <c r="J12" s="20">
        <v>0.6087177628713963</v>
      </c>
      <c r="K12" s="20">
        <v>3.829153559383143</v>
      </c>
      <c r="L12" s="20">
        <v>0.5896738550462156</v>
      </c>
      <c r="M12" s="20">
        <v>-0.03040627175184626</v>
      </c>
      <c r="N12" s="20">
        <v>9.931433999999999</v>
      </c>
      <c r="O12" s="20">
        <v>2.3262038</v>
      </c>
      <c r="P12" s="12">
        <v>0.26511</v>
      </c>
      <c r="Q12" s="12">
        <v>0.003</v>
      </c>
      <c r="R12" s="12">
        <v>0.2154943448119708</v>
      </c>
      <c r="S12" s="11">
        <v>48.29533744575358</v>
      </c>
      <c r="T12" s="9" t="s">
        <v>87</v>
      </c>
    </row>
    <row r="13" spans="1:20" x14ac:dyDescent="0.25">
      <c r="A13" s="11">
        <v>9</v>
      </c>
      <c r="B13" s="9" t="s">
        <v>93</v>
      </c>
      <c r="C13" s="9" t="s">
        <v>94</v>
      </c>
      <c r="D13" s="9" t="s">
        <v>95</v>
      </c>
      <c r="E13" s="10">
        <v>335.3800048828125</v>
      </c>
      <c r="F13" s="17">
        <v>0.7837024514101212</v>
      </c>
      <c r="G13" s="20">
        <v>-0.3654991602347105</v>
      </c>
      <c r="H13" s="20">
        <v>1.463709249725696</v>
      </c>
      <c r="I13" s="20">
        <v>1.40880022334584</v>
      </c>
      <c r="J13" s="20">
        <v>-0.204157481105242</v>
      </c>
      <c r="K13" s="20">
        <v>4.1972917133727</v>
      </c>
      <c r="L13" s="20">
        <v>0.0842370026628418</v>
      </c>
      <c r="M13" s="20">
        <v>0.336710206609396</v>
      </c>
      <c r="N13" s="20">
        <v>16.83283</v>
      </c>
      <c r="O13" s="20">
        <v>6.5881405</v>
      </c>
      <c r="P13" s="12">
        <v>0.48676</v>
      </c>
      <c r="Q13" s="12">
        <v>0.242</v>
      </c>
      <c r="R13" s="12">
        <v>0.09734879457938406</v>
      </c>
      <c r="S13" s="11">
        <v>44.19804931660762</v>
      </c>
      <c r="T13" s="9" t="s">
        <v>87</v>
      </c>
    </row>
    <row r="14" spans="1:20" x14ac:dyDescent="0.25">
      <c r="A14" s="11">
        <v>10</v>
      </c>
      <c r="B14" s="9" t="s">
        <v>96</v>
      </c>
      <c r="C14" s="9" t="s">
        <v>97</v>
      </c>
      <c r="D14" s="9" t="s">
        <v>95</v>
      </c>
      <c r="E14" s="10">
        <v>338.3599853515625</v>
      </c>
      <c r="F14" s="17">
        <v>0.7834662720951022</v>
      </c>
      <c r="G14" s="20">
        <v>-0.3753606373785415</v>
      </c>
      <c r="H14" s="20">
        <v>1.463709249725696</v>
      </c>
      <c r="I14" s="20">
        <v>1.40880022334584</v>
      </c>
      <c r="J14" s="20">
        <v>-0.1816201031699617</v>
      </c>
      <c r="K14" s="20">
        <v>4.1972917133727</v>
      </c>
      <c r="L14" s="20">
        <v>0.06314291840523922</v>
      </c>
      <c r="M14" s="20">
        <v>0.2872516846811813</v>
      </c>
      <c r="N14" s="20">
        <v>16.97392</v>
      </c>
      <c r="O14" s="20">
        <v>6.650031</v>
      </c>
      <c r="P14" s="12">
        <v>0.48676</v>
      </c>
      <c r="Q14" s="12">
        <v>0.242</v>
      </c>
      <c r="R14" s="12">
        <v>0.1058223886899801</v>
      </c>
      <c r="S14" s="11">
        <v>44.89808035345778</v>
      </c>
      <c r="T14" s="9" t="s">
        <v>87</v>
      </c>
    </row>
    <row r="15" spans="1:20" x14ac:dyDescent="0.25">
      <c r="A15" s="11">
        <v>11</v>
      </c>
      <c r="B15" s="9" t="s">
        <v>98</v>
      </c>
      <c r="C15" s="9" t="s">
        <v>99</v>
      </c>
      <c r="D15" s="9" t="s">
        <v>100</v>
      </c>
      <c r="E15" s="10">
        <v>162.7100067138672</v>
      </c>
      <c r="F15" s="17">
        <v>0.7508875525330688</v>
      </c>
      <c r="G15" s="20">
        <v>0.4941985872113094</v>
      </c>
      <c r="H15" s="20">
        <v>-0.5581494893912904</v>
      </c>
      <c r="I15" s="20">
        <v>-0.03241763381358259</v>
      </c>
      <c r="J15" s="20">
        <v>1.375212031660279</v>
      </c>
      <c r="K15" s="20">
        <v>3.296722344935419</v>
      </c>
      <c r="L15" s="20">
        <v>0.2622536311978117</v>
      </c>
      <c r="M15" s="20">
        <v>-0.8678502530400624</v>
      </c>
      <c r="N15" s="20">
        <v>17.05809</v>
      </c>
      <c r="O15" s="20">
        <v>4.186674</v>
      </c>
      <c r="P15" s="12">
        <v>0.26408002</v>
      </c>
      <c r="Q15" s="12">
        <v>0.053</v>
      </c>
      <c r="R15" s="12">
        <v>0.377625973780005</v>
      </c>
      <c r="S15" s="11">
        <v>60.03797954474801</v>
      </c>
      <c r="T15" s="9" t="s">
        <v>87</v>
      </c>
    </row>
    <row r="16" spans="1:20" x14ac:dyDescent="0.25">
      <c r="A16" s="11">
        <v>12</v>
      </c>
      <c r="B16" s="9" t="s">
        <v>101</v>
      </c>
      <c r="C16" s="9" t="s">
        <v>102</v>
      </c>
      <c r="D16" s="9" t="s">
        <v>28</v>
      </c>
      <c r="E16" s="10">
        <v>56.02999877929688</v>
      </c>
      <c r="F16" s="17">
        <v>0.74326451272628</v>
      </c>
      <c r="G16" s="20">
        <v>0.5218225520995097</v>
      </c>
      <c r="H16" s="20">
        <v>-0.5332485103967138</v>
      </c>
      <c r="I16" s="20">
        <v>2.225163086097977</v>
      </c>
      <c r="J16" s="20">
        <v>2.030330982269093</v>
      </c>
      <c r="K16" s="20">
        <v>0.3256630316615335</v>
      </c>
      <c r="L16" s="20">
        <v>-1.239760248452089</v>
      </c>
      <c r="M16" s="20">
        <v>-0.7706667146367739</v>
      </c>
      <c r="N16" s="20">
        <v>26.804123</v>
      </c>
      <c r="O16" s="20">
        <v>2.7206612</v>
      </c>
      <c r="P16" s="12">
        <v>0.10936</v>
      </c>
      <c r="Q16" s="12">
        <v>0.337</v>
      </c>
      <c r="R16" s="12">
        <v>1.593134832549722</v>
      </c>
      <c r="S16" s="11">
        <v>57.78308827692286</v>
      </c>
      <c r="T16" s="9" t="s">
        <v>87</v>
      </c>
    </row>
    <row r="17" spans="1:20" x14ac:dyDescent="0.25">
      <c r="A17" s="11">
        <v>13</v>
      </c>
      <c r="B17" s="9" t="s">
        <v>103</v>
      </c>
      <c r="C17" s="9" t="s">
        <v>104</v>
      </c>
      <c r="D17" s="9" t="s">
        <v>105</v>
      </c>
      <c r="E17" s="10">
        <v>64.58000183105469</v>
      </c>
      <c r="F17" s="17">
        <v>0.7350680436258861</v>
      </c>
      <c r="G17" s="20">
        <v>1.296202382232963</v>
      </c>
      <c r="H17" s="20">
        <v>-1.353261681376673</v>
      </c>
      <c r="I17" s="20">
        <v>-0.5780959126470824</v>
      </c>
      <c r="J17" s="20">
        <v>0.8320880019623197</v>
      </c>
      <c r="K17" s="20">
        <v>4.1972917133727</v>
      </c>
      <c r="L17" s="20">
        <v>-0.02742629593900239</v>
      </c>
      <c r="M17" s="20">
        <v>0.3053405833981097</v>
      </c>
      <c r="N17" s="20">
        <v>12.6192465</v>
      </c>
      <c r="O17" s="20">
        <v>1.4678257</v>
      </c>
      <c r="P17" s="12">
        <v>-0.20358999</v>
      </c>
      <c r="Q17" s="12">
        <v>0.046</v>
      </c>
      <c r="R17" s="12">
        <v>0.490766442428451</v>
      </c>
      <c r="S17" s="11">
        <v>47.22740624115487</v>
      </c>
      <c r="T17" s="9" t="s">
        <v>87</v>
      </c>
    </row>
    <row r="18" spans="1:20" x14ac:dyDescent="0.25">
      <c r="A18" s="11">
        <v>14</v>
      </c>
      <c r="B18" s="9" t="s">
        <v>6</v>
      </c>
      <c r="C18" s="9" t="s">
        <v>42</v>
      </c>
      <c r="D18" s="9" t="s">
        <v>38</v>
      </c>
      <c r="E18" s="10">
        <v>60.65000152587891</v>
      </c>
      <c r="F18" s="17">
        <v>0.7095984039373823</v>
      </c>
      <c r="G18" s="20">
        <v>0.6321397772136792</v>
      </c>
      <c r="H18" s="20">
        <v>0.6155406581429993</v>
      </c>
      <c r="I18" s="20">
        <v>2.930171312463986</v>
      </c>
      <c r="J18" s="20">
        <v>0.4329446997788296</v>
      </c>
      <c r="K18" s="20">
        <v>0.8730995961762966</v>
      </c>
      <c r="L18" s="20">
        <v>0.2658765169304781</v>
      </c>
      <c r="M18" s="20">
        <v>-0.5787293125123976</v>
      </c>
      <c r="N18" s="20">
        <v>17.710915</v>
      </c>
      <c r="O18" s="20">
        <v>1.7938988</v>
      </c>
      <c r="P18" s="12">
        <v>0.10629</v>
      </c>
      <c r="Q18" s="12">
        <v>0.534</v>
      </c>
      <c r="R18" s="12">
        <v>0.1126760750661084</v>
      </c>
      <c r="S18" s="11">
        <v>59.38221223383346</v>
      </c>
      <c r="T18" s="9" t="s">
        <v>87</v>
      </c>
    </row>
    <row r="19" spans="1:20" x14ac:dyDescent="0.25">
      <c r="A19" s="11">
        <v>15</v>
      </c>
      <c r="B19" s="9" t="s">
        <v>106</v>
      </c>
      <c r="C19" s="9" t="s">
        <v>107</v>
      </c>
      <c r="D19" s="9" t="s">
        <v>92</v>
      </c>
      <c r="E19" s="10">
        <v>253.4600067138672</v>
      </c>
      <c r="F19" s="17">
        <v>0.6583665893639233</v>
      </c>
      <c r="G19" s="20">
        <v>1.286238812250283</v>
      </c>
      <c r="H19" s="20">
        <v>0.1653558428199913</v>
      </c>
      <c r="I19" s="20">
        <v>-0.05063264711205382</v>
      </c>
      <c r="J19" s="20">
        <v>0.4745204787725334</v>
      </c>
      <c r="K19" s="20">
        <v>1.858278441957119</v>
      </c>
      <c r="L19" s="20">
        <v>0.5109336572200091</v>
      </c>
      <c r="M19" s="20">
        <v>0.1180544614883036</v>
      </c>
      <c r="N19" s="20">
        <v>5.1976376</v>
      </c>
      <c r="O19" s="20">
        <v>2.0800378</v>
      </c>
      <c r="P19" s="12">
        <v>0.46113998</v>
      </c>
      <c r="Q19" s="12">
        <v>0.118</v>
      </c>
      <c r="R19" s="12">
        <v>0.2319113426066355</v>
      </c>
      <c r="S19" s="11">
        <v>45.56205966278974</v>
      </c>
      <c r="T19" s="9" t="s">
        <v>87</v>
      </c>
    </row>
    <row r="20" spans="1:20" x14ac:dyDescent="0.25">
      <c r="A20" s="11">
        <v>16</v>
      </c>
      <c r="B20" s="9" t="s">
        <v>108</v>
      </c>
      <c r="C20" s="9" t="s">
        <v>109</v>
      </c>
      <c r="D20" s="9" t="s">
        <v>100</v>
      </c>
      <c r="E20" s="10">
        <v>124.0400009155273</v>
      </c>
      <c r="F20" s="17">
        <v>0.63963859698438</v>
      </c>
      <c r="G20" s="20">
        <v>0.3599925540636538</v>
      </c>
      <c r="H20" s="20">
        <v>-0.1244310120248844</v>
      </c>
      <c r="I20" s="20">
        <v>0.4821804333312243</v>
      </c>
      <c r="J20" s="20">
        <v>0.1175161678413195</v>
      </c>
      <c r="K20" s="20">
        <v>4.1972917133727</v>
      </c>
      <c r="L20" s="20">
        <v>0.08623224266917956</v>
      </c>
      <c r="M20" s="20">
        <v>0.03033831658138225</v>
      </c>
      <c r="N20" s="20">
        <v>16.105392</v>
      </c>
      <c r="O20" s="20">
        <v>7.2471595</v>
      </c>
      <c r="P20" s="12">
        <v>0.46032003</v>
      </c>
      <c r="Q20" s="12">
        <v>0.07000000000000001</v>
      </c>
      <c r="R20" s="12">
        <v>0.0706948860533283</v>
      </c>
      <c r="S20" s="11">
        <v>42.11464305912724</v>
      </c>
      <c r="T20" s="9" t="s">
        <v>87</v>
      </c>
    </row>
    <row r="21" spans="1:20" x14ac:dyDescent="0.25">
      <c r="A21" s="11">
        <v>17</v>
      </c>
      <c r="B21" s="9" t="s">
        <v>110</v>
      </c>
      <c r="C21" s="9" t="s">
        <v>111</v>
      </c>
      <c r="D21" s="9" t="s">
        <v>112</v>
      </c>
      <c r="E21" s="10">
        <v>256.9700012207031</v>
      </c>
      <c r="F21" s="17">
        <v>0.6342809648252788</v>
      </c>
      <c r="G21" s="20">
        <v>-0.04482148267622166</v>
      </c>
      <c r="H21" s="20">
        <v>0.1590141648378586</v>
      </c>
      <c r="I21" s="20">
        <v>1.035672297744961</v>
      </c>
      <c r="J21" s="20">
        <v>0.171386387571603</v>
      </c>
      <c r="K21" s="20">
        <v>4.1972917133727</v>
      </c>
      <c r="L21" s="20">
        <v>-0.4488605948402165</v>
      </c>
      <c r="M21" s="20">
        <v>-0.1852493828418346</v>
      </c>
      <c r="N21" s="20">
        <v>20.797264</v>
      </c>
      <c r="O21" s="20">
        <v>5.0533667</v>
      </c>
      <c r="P21" s="12">
        <v>0.30558002</v>
      </c>
      <c r="Q21" s="12">
        <v>0.196</v>
      </c>
      <c r="R21" s="12">
        <v>0.2036629097793119</v>
      </c>
      <c r="S21" s="11">
        <v>48.12096671477671</v>
      </c>
      <c r="T21" s="9" t="s">
        <v>87</v>
      </c>
    </row>
    <row r="22" spans="1:20" x14ac:dyDescent="0.25">
      <c r="A22" s="11">
        <v>18</v>
      </c>
      <c r="B22" s="9" t="s">
        <v>113</v>
      </c>
      <c r="C22" s="9" t="s">
        <v>114</v>
      </c>
      <c r="D22" s="9" t="s">
        <v>28</v>
      </c>
      <c r="E22" s="10">
        <v>104.4700012207031</v>
      </c>
      <c r="F22" s="17">
        <v>0.6251009131397292</v>
      </c>
      <c r="G22" s="20">
        <v>-0.6233680543607623</v>
      </c>
      <c r="H22" s="20">
        <v>-1.136990927851701</v>
      </c>
      <c r="I22" s="20">
        <v>0.5264142543422116</v>
      </c>
      <c r="J22" s="20">
        <v>1.625224614958064</v>
      </c>
      <c r="K22" s="20">
        <v>4.1972917133727</v>
      </c>
      <c r="L22" s="20">
        <v>-2.552284533469248</v>
      </c>
      <c r="M22" s="20">
        <v>0.3559870982841107</v>
      </c>
      <c r="N22" s="20">
        <v>46.910885</v>
      </c>
      <c r="O22" s="20">
        <v>5.5187516</v>
      </c>
      <c r="P22" s="12">
        <v>-0.10715</v>
      </c>
      <c r="Q22" s="12">
        <v>0.254</v>
      </c>
      <c r="R22" s="12">
        <v>1.292013975952176</v>
      </c>
      <c r="S22" s="11">
        <v>61.69918404310961</v>
      </c>
      <c r="T22" s="9" t="s">
        <v>87</v>
      </c>
    </row>
    <row r="23" spans="1:20" x14ac:dyDescent="0.25">
      <c r="A23" s="11">
        <v>19</v>
      </c>
      <c r="B23" s="9" t="s">
        <v>115</v>
      </c>
      <c r="C23" s="9" t="s">
        <v>116</v>
      </c>
      <c r="D23" s="9" t="s">
        <v>105</v>
      </c>
      <c r="E23" s="10">
        <v>124.4000015258789</v>
      </c>
      <c r="F23" s="17">
        <v>0.5953639290148719</v>
      </c>
      <c r="G23" s="20">
        <v>0.3314207580374121</v>
      </c>
      <c r="H23" s="20">
        <v>0.5050654897521694</v>
      </c>
      <c r="I23" s="20">
        <v>0.5229426848176244</v>
      </c>
      <c r="J23" s="20">
        <v>0.7593354506761331</v>
      </c>
      <c r="K23" s="20">
        <v>1.6471686892898</v>
      </c>
      <c r="L23" s="20">
        <v>0.008519108772499218</v>
      </c>
      <c r="M23" s="20">
        <v>-0.2921072339742236</v>
      </c>
      <c r="N23" s="20">
        <v>16.146498</v>
      </c>
      <c r="O23" s="20">
        <v>4.015142</v>
      </c>
      <c r="P23" s="12">
        <v>0.30667</v>
      </c>
      <c r="Q23" s="12">
        <v>0.377</v>
      </c>
      <c r="R23" s="12">
        <v>0.2811534858987021</v>
      </c>
      <c r="S23" s="11">
        <v>50.8479448726449</v>
      </c>
      <c r="T23" s="9" t="s">
        <v>87</v>
      </c>
    </row>
    <row r="24" spans="1:20" x14ac:dyDescent="0.25">
      <c r="A24" s="11">
        <v>20</v>
      </c>
      <c r="B24" s="9" t="s">
        <v>117</v>
      </c>
      <c r="C24" s="9" t="s">
        <v>118</v>
      </c>
      <c r="D24" s="9" t="s">
        <v>28</v>
      </c>
      <c r="E24" s="10">
        <v>189.1300048828125</v>
      </c>
      <c r="F24" s="17">
        <v>0.5697633164143457</v>
      </c>
      <c r="G24" s="20">
        <v>-0.3904668641526476</v>
      </c>
      <c r="H24" s="20">
        <v>1.359179679828218</v>
      </c>
      <c r="I24" s="20">
        <v>0.4411015820383316</v>
      </c>
      <c r="J24" s="20">
        <v>1.32998344249264</v>
      </c>
      <c r="K24" s="20">
        <v>0.4876173272126874</v>
      </c>
      <c r="L24" s="20">
        <v>-0.1241567913855804</v>
      </c>
      <c r="M24" s="20">
        <v>-0.8948907443088177</v>
      </c>
      <c r="N24" s="20">
        <v>26.250353</v>
      </c>
      <c r="O24" s="20">
        <v>26.924416</v>
      </c>
      <c r="P24" s="12">
        <v>1.14818</v>
      </c>
      <c r="Q24" s="12">
        <v>0.299</v>
      </c>
      <c r="R24" s="12">
        <v>0.8952004265981663</v>
      </c>
      <c r="S24" s="11">
        <v>53.12450935567445</v>
      </c>
      <c r="T24" s="9" t="s">
        <v>87</v>
      </c>
    </row>
    <row r="25" spans="1:20" x14ac:dyDescent="0.25">
      <c r="A25" s="11">
        <v>21</v>
      </c>
      <c r="B25" s="9" t="s">
        <v>119</v>
      </c>
      <c r="C25" s="9" t="s">
        <v>120</v>
      </c>
      <c r="D25" s="9" t="s">
        <v>92</v>
      </c>
      <c r="E25" s="10">
        <v>1036.530029296875</v>
      </c>
      <c r="F25" s="17">
        <v>0.56734839132417</v>
      </c>
      <c r="G25" s="20">
        <v>0.3667190394925228</v>
      </c>
      <c r="H25" s="20">
        <v>0.8230717495135815</v>
      </c>
      <c r="I25" s="20">
        <v>0.9154597556552251</v>
      </c>
      <c r="J25" s="20">
        <v>0.2165283389004759</v>
      </c>
      <c r="K25" s="20">
        <v>1.663726316949982</v>
      </c>
      <c r="L25" s="20">
        <v>0.1024364401273346</v>
      </c>
      <c r="M25" s="20">
        <v>0.09187078270049481</v>
      </c>
      <c r="N25" s="20">
        <v>16.02546</v>
      </c>
      <c r="O25" s="20">
        <v>2.8687</v>
      </c>
      <c r="P25" s="12">
        <v>0.16902</v>
      </c>
      <c r="Q25" s="12">
        <v>0.425</v>
      </c>
      <c r="R25" s="12">
        <v>0.2574030332256332</v>
      </c>
      <c r="S25" s="11">
        <v>51.43317778574706</v>
      </c>
      <c r="T25" s="9" t="s">
        <v>87</v>
      </c>
    </row>
    <row r="26" spans="1:20" x14ac:dyDescent="0.25">
      <c r="A26" s="11">
        <v>22</v>
      </c>
      <c r="B26" s="9" t="s">
        <v>121</v>
      </c>
      <c r="C26" s="9" t="s">
        <v>122</v>
      </c>
      <c r="D26" s="9" t="s">
        <v>92</v>
      </c>
      <c r="E26" s="10">
        <v>213.9600067138672</v>
      </c>
      <c r="F26" s="17">
        <v>0.5463955641114731</v>
      </c>
      <c r="G26" s="20">
        <v>0.5809437263948974</v>
      </c>
      <c r="H26" s="20">
        <v>-0.6585101921976751</v>
      </c>
      <c r="I26" s="20">
        <v>4.120745224686987</v>
      </c>
      <c r="J26" s="20">
        <v>0.1353151982103833</v>
      </c>
      <c r="K26" s="20">
        <v>0.6040381466983412</v>
      </c>
      <c r="L26" s="20">
        <v>0.4815902196986752</v>
      </c>
      <c r="M26" s="20">
        <v>-0.08577185756894479</v>
      </c>
      <c r="N26" s="20">
        <v>12.092511</v>
      </c>
      <c r="O26" s="20">
        <v>1.3082409</v>
      </c>
      <c r="P26" s="12">
        <v>0.09031</v>
      </c>
      <c r="Q26" s="12">
        <v>11.11</v>
      </c>
      <c r="R26" s="12">
        <v>0.1610254620931819</v>
      </c>
      <c r="S26" s="11">
        <v>48.03128741189954</v>
      </c>
      <c r="T26" s="9" t="s">
        <v>87</v>
      </c>
    </row>
    <row r="27" spans="1:20" x14ac:dyDescent="0.25">
      <c r="A27" s="11">
        <v>23</v>
      </c>
      <c r="B27" s="9" t="s">
        <v>123</v>
      </c>
      <c r="C27" s="9" t="s">
        <v>124</v>
      </c>
      <c r="D27" s="9" t="s">
        <v>28</v>
      </c>
      <c r="E27" s="10">
        <v>225.7299957275391</v>
      </c>
      <c r="F27" s="17">
        <v>0.5189681794547308</v>
      </c>
      <c r="G27" s="20">
        <v>-1.255664189485384</v>
      </c>
      <c r="H27" s="20">
        <v>2.368358787986747</v>
      </c>
      <c r="I27" s="20">
        <v>2.430954222251415</v>
      </c>
      <c r="J27" s="20">
        <v>0.5843720113700576</v>
      </c>
      <c r="K27" s="20">
        <v>-0.308183652204804</v>
      </c>
      <c r="L27" s="20">
        <v>-0.2161934998125696</v>
      </c>
      <c r="M27" s="20">
        <v>-0.0300381237325984</v>
      </c>
      <c r="N27" s="20">
        <v>29.159492</v>
      </c>
      <c r="O27" s="20">
        <v>24.291891</v>
      </c>
      <c r="P27" s="12">
        <v>1.17211</v>
      </c>
      <c r="Q27" s="12">
        <v>1.059</v>
      </c>
      <c r="R27" s="12">
        <v>0.2373683124047306</v>
      </c>
      <c r="S27" s="11">
        <v>56.14653691353901</v>
      </c>
      <c r="T27" s="9" t="s">
        <v>87</v>
      </c>
    </row>
    <row r="28" spans="1:20" x14ac:dyDescent="0.25">
      <c r="A28" s="11">
        <v>24</v>
      </c>
      <c r="B28" s="9" t="s">
        <v>125</v>
      </c>
      <c r="C28" s="9" t="s">
        <v>126</v>
      </c>
      <c r="D28" s="9" t="s">
        <v>28</v>
      </c>
      <c r="E28" s="10">
        <v>40.2599983215332</v>
      </c>
      <c r="F28" s="17">
        <v>0.5041545557798331</v>
      </c>
      <c r="G28" s="20">
        <v>0.09785741135882757</v>
      </c>
      <c r="H28" s="20">
        <v>-0.81219220040201</v>
      </c>
      <c r="I28" s="20">
        <v>3.920900829953943</v>
      </c>
      <c r="J28" s="20">
        <v>0.2670313249003679</v>
      </c>
      <c r="K28" s="20">
        <v>3.385719593608896</v>
      </c>
      <c r="L28" s="20">
        <v>-3.416720321042702</v>
      </c>
      <c r="M28" s="20">
        <v>-0.7123954829555538</v>
      </c>
      <c r="N28" s="20">
        <v>12.144172</v>
      </c>
      <c r="O28" s="20">
        <v>2.3688147</v>
      </c>
      <c r="P28" s="12">
        <v>0.21465999</v>
      </c>
      <c r="Q28" s="12">
        <v>0.9320000000000001</v>
      </c>
      <c r="R28" s="12">
        <v>0.2589117854226792</v>
      </c>
      <c r="S28" s="11">
        <v>64.14745634614101</v>
      </c>
      <c r="T28" s="9" t="s">
        <v>87</v>
      </c>
    </row>
    <row r="29" spans="1:20" x14ac:dyDescent="0.25">
      <c r="A29" s="11">
        <v>25</v>
      </c>
      <c r="B29" s="9" t="s">
        <v>8</v>
      </c>
      <c r="C29" s="9" t="s">
        <v>45</v>
      </c>
      <c r="D29" s="9" t="s">
        <v>38</v>
      </c>
      <c r="E29" s="10">
        <v>43.54999923706055</v>
      </c>
      <c r="F29" s="17">
        <v>0.4990836376154188</v>
      </c>
      <c r="G29" s="20">
        <v>1.1788603618118</v>
      </c>
      <c r="H29" s="20">
        <v>0.561859549662265</v>
      </c>
      <c r="I29" s="20">
        <v>-0.2890980177519417</v>
      </c>
      <c r="J29" s="20">
        <v>1.260448221343344</v>
      </c>
      <c r="K29" s="20">
        <v>-0.5746579723608561</v>
      </c>
      <c r="L29" s="20">
        <v>-0.3491559703348047</v>
      </c>
      <c r="M29" s="20">
        <v>-0.7790638147635713</v>
      </c>
      <c r="N29" s="20">
        <v>9.023208</v>
      </c>
      <c r="O29" s="20">
        <v>2.1361504</v>
      </c>
      <c r="P29" s="12">
        <v>0.26659</v>
      </c>
      <c r="Q29" s="12">
        <v>0.092</v>
      </c>
      <c r="R29" s="12">
        <v>0.3547121947190726</v>
      </c>
      <c r="S29" s="11">
        <v>60.45630612065907</v>
      </c>
      <c r="T29" s="9" t="s">
        <v>87</v>
      </c>
    </row>
    <row r="30" spans="1:20" x14ac:dyDescent="0.25">
      <c r="A30" s="11">
        <v>26</v>
      </c>
      <c r="B30" s="9" t="s">
        <v>3</v>
      </c>
      <c r="C30" s="9" t="s">
        <v>35</v>
      </c>
      <c r="D30" s="9" t="s">
        <v>28</v>
      </c>
      <c r="E30" s="10">
        <v>477.2999877929688</v>
      </c>
      <c r="F30" s="17">
        <v>0.4902183444336746</v>
      </c>
      <c r="G30" s="20">
        <v>-0.9800881674162824</v>
      </c>
      <c r="H30" s="20">
        <v>2.147104391138658</v>
      </c>
      <c r="I30" s="20">
        <v>2.675284350851072</v>
      </c>
      <c r="J30" s="20">
        <v>0.7835826359838297</v>
      </c>
      <c r="K30" s="20">
        <v>-0.2197038293957071</v>
      </c>
      <c r="L30" s="20">
        <v>-3.416720321042702</v>
      </c>
      <c r="M30" s="20">
        <v>0.648274561202637</v>
      </c>
      <c r="N30" s="20">
        <v>17.358335</v>
      </c>
      <c r="O30" s="20">
        <v>22.350464</v>
      </c>
      <c r="P30" s="12">
        <v>1.30853</v>
      </c>
      <c r="Q30" s="12">
        <v>0.438</v>
      </c>
      <c r="R30" s="12">
        <v>0.822398437321578</v>
      </c>
      <c r="S30" s="11">
        <v>50.4863565454001</v>
      </c>
      <c r="T30" s="9" t="s">
        <v>87</v>
      </c>
    </row>
    <row r="31" spans="1:20" x14ac:dyDescent="0.25">
      <c r="A31" s="11">
        <v>27</v>
      </c>
      <c r="B31" s="9" t="s">
        <v>127</v>
      </c>
      <c r="C31" s="9" t="s">
        <v>128</v>
      </c>
      <c r="D31" s="9" t="s">
        <v>105</v>
      </c>
      <c r="E31" s="10">
        <v>64.69000244140625</v>
      </c>
      <c r="F31" s="17">
        <v>0.4835314296583552</v>
      </c>
      <c r="G31" s="20">
        <v>0.4785242056074159</v>
      </c>
      <c r="H31" s="20">
        <v>0.6574599095763384</v>
      </c>
      <c r="I31" s="20">
        <v>0.2335665909722698</v>
      </c>
      <c r="J31" s="20">
        <v>0.5112723003362208</v>
      </c>
      <c r="K31" s="20">
        <v>0.8084213631287113</v>
      </c>
      <c r="L31" s="20">
        <v>0.5464006194230052</v>
      </c>
      <c r="M31" s="20">
        <v>-0.1791182852764088</v>
      </c>
      <c r="N31" s="20">
        <v>14.718061</v>
      </c>
      <c r="O31" s="20">
        <v>6.116247</v>
      </c>
      <c r="P31" s="12">
        <v>0.46598998</v>
      </c>
      <c r="Q31" s="12">
        <v>0.057</v>
      </c>
      <c r="R31" s="12">
        <v>0.09013335897834285</v>
      </c>
      <c r="S31" s="11">
        <v>46.65735197441372</v>
      </c>
      <c r="T31" s="9" t="s">
        <v>87</v>
      </c>
    </row>
    <row r="32" spans="1:20" x14ac:dyDescent="0.25">
      <c r="A32" s="11">
        <v>28</v>
      </c>
      <c r="B32" s="9" t="s">
        <v>129</v>
      </c>
      <c r="C32" s="9" t="s">
        <v>130</v>
      </c>
      <c r="D32" s="9" t="s">
        <v>105</v>
      </c>
      <c r="E32" s="10">
        <v>212.5</v>
      </c>
      <c r="F32" s="17">
        <v>0.4753714760860758</v>
      </c>
      <c r="G32" s="20">
        <v>0.2276945080429548</v>
      </c>
      <c r="H32" s="20">
        <v>0.03119877719549098</v>
      </c>
      <c r="I32" s="20">
        <v>-0.8985721544356027</v>
      </c>
      <c r="J32" s="20">
        <v>0.401909284420032</v>
      </c>
      <c r="K32" s="20">
        <v>3.376923353914425</v>
      </c>
      <c r="L32" s="20">
        <v>-0.1154307044985162</v>
      </c>
      <c r="M32" s="20">
        <v>0.004676627559951518</v>
      </c>
      <c r="N32" s="20">
        <v>39.2238</v>
      </c>
      <c r="O32" s="20">
        <v>1.730507</v>
      </c>
      <c r="P32" s="12">
        <v>0.04575</v>
      </c>
      <c r="Q32" s="12">
        <v>0.034</v>
      </c>
      <c r="R32" s="12">
        <v>0.1288779951067147</v>
      </c>
      <c r="S32" s="11">
        <v>47.84446106344914</v>
      </c>
      <c r="T32" s="9" t="s">
        <v>87</v>
      </c>
    </row>
    <row r="33" spans="1:20" x14ac:dyDescent="0.25">
      <c r="A33" s="11">
        <v>29</v>
      </c>
      <c r="B33" s="9" t="s">
        <v>131</v>
      </c>
      <c r="C33" s="9" t="s">
        <v>132</v>
      </c>
      <c r="D33" s="9" t="s">
        <v>28</v>
      </c>
      <c r="E33" s="10">
        <v>352.5400085449219</v>
      </c>
      <c r="F33" s="17">
        <v>0.4656193589205661</v>
      </c>
      <c r="G33" s="20">
        <v>0.09769025453656566</v>
      </c>
      <c r="H33" s="20">
        <v>-0.2373803208952873</v>
      </c>
      <c r="I33" s="20">
        <v>0.4704496970046058</v>
      </c>
      <c r="J33" s="20">
        <v>1.44106755832677</v>
      </c>
      <c r="K33" s="20">
        <v>1.706672663693578</v>
      </c>
      <c r="L33" s="20">
        <v>-1.684092777206551</v>
      </c>
      <c r="M33" s="20">
        <v>-1.213805322026222</v>
      </c>
      <c r="N33" s="20">
        <v>33.248394</v>
      </c>
      <c r="O33" s="20">
        <v>5.0043454</v>
      </c>
      <c r="P33" s="12">
        <v>0.15286</v>
      </c>
      <c r="Q33" s="12">
        <v>0.204</v>
      </c>
      <c r="R33" s="12">
        <v>0.6490785412945888</v>
      </c>
      <c r="S33" s="11">
        <v>53.80004140607057</v>
      </c>
      <c r="T33" s="9" t="s">
        <v>87</v>
      </c>
    </row>
    <row r="34" spans="1:20" x14ac:dyDescent="0.25">
      <c r="A34" s="11">
        <v>30</v>
      </c>
      <c r="B34" s="9" t="s">
        <v>133</v>
      </c>
      <c r="C34" s="9" t="s">
        <v>134</v>
      </c>
      <c r="D34" s="9" t="s">
        <v>38</v>
      </c>
      <c r="E34" s="10">
        <v>209.8000030517578</v>
      </c>
      <c r="F34" s="17">
        <v>0.4493945547233394</v>
      </c>
      <c r="G34" s="20">
        <v>0.5306330587817526</v>
      </c>
      <c r="H34" s="20">
        <v>-0.3271612979466518</v>
      </c>
      <c r="I34" s="20">
        <v>2.322186162377909</v>
      </c>
      <c r="J34" s="20">
        <v>0.6846640972297852</v>
      </c>
      <c r="K34" s="20">
        <v>-0.1695135205507808</v>
      </c>
      <c r="L34" s="20">
        <v>0.7718811317766416</v>
      </c>
      <c r="M34" s="20">
        <v>-0.7170334879142883</v>
      </c>
      <c r="N34" s="20">
        <v>20.076998</v>
      </c>
      <c r="O34" s="20">
        <v>2.1549587</v>
      </c>
      <c r="P34" s="12">
        <v>0.12231</v>
      </c>
      <c r="Q34" s="12">
        <v>0.535</v>
      </c>
      <c r="R34" s="12">
        <v>0.1273719414412338</v>
      </c>
      <c r="S34" s="11">
        <v>66.2812788972652</v>
      </c>
      <c r="T34" s="9" t="s">
        <v>87</v>
      </c>
    </row>
    <row r="35" spans="1:20" x14ac:dyDescent="0.25">
      <c r="A35" s="11">
        <v>31</v>
      </c>
      <c r="B35" s="9" t="s">
        <v>135</v>
      </c>
      <c r="C35" s="9" t="s">
        <v>136</v>
      </c>
      <c r="D35" s="9" t="s">
        <v>92</v>
      </c>
      <c r="E35" s="10">
        <v>216.2400054931641</v>
      </c>
      <c r="F35" s="17">
        <v>0.4344472686351803</v>
      </c>
      <c r="G35" s="20">
        <v>0.3451625228080399</v>
      </c>
      <c r="H35" s="20">
        <v>0.7739793579701058</v>
      </c>
      <c r="I35" s="20">
        <v>0.3853148937972363</v>
      </c>
      <c r="J35" s="20">
        <v>0.4614414911879133</v>
      </c>
      <c r="K35" s="20">
        <v>0.3013440160356414</v>
      </c>
      <c r="L35" s="20">
        <v>0.5716186384678913</v>
      </c>
      <c r="M35" s="20">
        <v>0.01323725357585087</v>
      </c>
      <c r="N35" s="20">
        <v>17.572235</v>
      </c>
      <c r="O35" s="20">
        <v>3.211162</v>
      </c>
      <c r="P35" s="12">
        <v>0.17969999</v>
      </c>
      <c r="Q35" s="12">
        <v>0.28</v>
      </c>
      <c r="R35" s="12">
        <v>0.3624108746719914</v>
      </c>
      <c r="S35" s="11">
        <v>52.49376650997617</v>
      </c>
      <c r="T35" s="9" t="s">
        <v>87</v>
      </c>
    </row>
    <row r="36" spans="1:20" x14ac:dyDescent="0.25">
      <c r="A36" s="11">
        <v>32</v>
      </c>
      <c r="B36" s="9" t="s">
        <v>137</v>
      </c>
      <c r="C36" s="9" t="s">
        <v>138</v>
      </c>
      <c r="D36" s="9" t="s">
        <v>28</v>
      </c>
      <c r="E36" s="10">
        <v>904.3800048828125</v>
      </c>
      <c r="F36" s="17">
        <v>0.4277528213124358</v>
      </c>
      <c r="G36" s="20">
        <v>-2.161506497931219</v>
      </c>
      <c r="H36" s="20">
        <v>1.683877559410052</v>
      </c>
      <c r="I36" s="20">
        <v>1.349061869241311</v>
      </c>
      <c r="J36" s="20">
        <v>2.004312972346333</v>
      </c>
      <c r="K36" s="20">
        <v>-0.00135011462705862</v>
      </c>
      <c r="L36" s="20">
        <v>-3.02413084282166</v>
      </c>
      <c r="M36" s="20">
        <v>-0.08983291086297163</v>
      </c>
      <c r="N36" s="20">
        <v>60.967697</v>
      </c>
      <c r="O36" s="20">
        <v>88.88330999999999</v>
      </c>
      <c r="P36" s="12">
        <v>3.7152898</v>
      </c>
      <c r="Q36" s="12">
        <v>0.485</v>
      </c>
      <c r="R36" s="12">
        <v>1.421936781263033</v>
      </c>
      <c r="S36" s="11">
        <v>57.10377197111912</v>
      </c>
      <c r="T36" s="9" t="s">
        <v>87</v>
      </c>
    </row>
    <row r="37" spans="1:20" x14ac:dyDescent="0.25">
      <c r="A37" s="11">
        <v>33</v>
      </c>
      <c r="B37" s="9" t="s">
        <v>139</v>
      </c>
      <c r="C37" s="9" t="s">
        <v>140</v>
      </c>
      <c r="D37" s="9" t="s">
        <v>28</v>
      </c>
      <c r="E37" s="10">
        <v>31.17000007629395</v>
      </c>
      <c r="F37" s="17">
        <v>0.4154376913907029</v>
      </c>
      <c r="G37" s="20">
        <v>1.115176779328165</v>
      </c>
      <c r="H37" s="20">
        <v>-0.9874044575767369</v>
      </c>
      <c r="I37" s="20">
        <v>-0.3840221445724293</v>
      </c>
      <c r="J37" s="20">
        <v>1.386920958048624</v>
      </c>
      <c r="K37" s="20">
        <v>0.4074163182336814</v>
      </c>
      <c r="L37" s="20">
        <v>-0.5541681022294552</v>
      </c>
      <c r="M37" s="20">
        <v>-0.2577920085963465</v>
      </c>
      <c r="N37" s="20">
        <v>12.458015</v>
      </c>
      <c r="O37" s="20">
        <v>-320</v>
      </c>
      <c r="P37" s="12">
        <v>0</v>
      </c>
      <c r="Q37" s="12">
        <v>0.125</v>
      </c>
      <c r="R37" s="12">
        <v>0.6936817041972732</v>
      </c>
      <c r="S37" s="11">
        <v>57.41290193179169</v>
      </c>
      <c r="T37" s="9" t="s">
        <v>87</v>
      </c>
    </row>
    <row r="38" spans="1:20" x14ac:dyDescent="0.25">
      <c r="A38" s="11">
        <v>34</v>
      </c>
      <c r="B38" s="9" t="s">
        <v>141</v>
      </c>
      <c r="C38" s="9" t="s">
        <v>142</v>
      </c>
      <c r="D38" s="9" t="s">
        <v>105</v>
      </c>
      <c r="E38" s="10">
        <v>810.3099975585938</v>
      </c>
      <c r="F38" s="17">
        <v>0.4132387079613485</v>
      </c>
      <c r="G38" s="20">
        <v>0.1366671162081818</v>
      </c>
      <c r="H38" s="20">
        <v>0.1794925664991855</v>
      </c>
      <c r="I38" s="20">
        <v>-0.2394962708042926</v>
      </c>
      <c r="J38" s="20">
        <v>0.7912049523977567</v>
      </c>
      <c r="K38" s="20">
        <v>1.442268046995049</v>
      </c>
      <c r="L38" s="20">
        <v>0.4983102686747095</v>
      </c>
      <c r="M38" s="20">
        <v>-0.7057852999347519</v>
      </c>
      <c r="N38" s="20">
        <v>20.49319</v>
      </c>
      <c r="O38" s="20">
        <v>2.6184473</v>
      </c>
      <c r="P38" s="12">
        <v>0.14043</v>
      </c>
      <c r="Q38" s="12">
        <v>0.167</v>
      </c>
      <c r="R38" s="12">
        <v>0.03949326488628557</v>
      </c>
      <c r="S38" s="11">
        <v>54.60457700322396</v>
      </c>
      <c r="T38" s="9" t="s">
        <v>87</v>
      </c>
    </row>
    <row r="39" spans="1:20" x14ac:dyDescent="0.25">
      <c r="A39" s="11">
        <v>35</v>
      </c>
      <c r="B39" s="9" t="s">
        <v>143</v>
      </c>
      <c r="C39" s="9" t="s">
        <v>144</v>
      </c>
      <c r="D39" s="9" t="s">
        <v>95</v>
      </c>
      <c r="E39" s="10">
        <v>28.1200008392334</v>
      </c>
      <c r="F39" s="17">
        <v>0.3837410464321968</v>
      </c>
      <c r="G39" s="20">
        <v>-0.07115990276327171</v>
      </c>
      <c r="H39" s="20">
        <v>-0.995994779142174</v>
      </c>
      <c r="I39" s="20">
        <v>-1.178947812209808</v>
      </c>
      <c r="J39" s="20">
        <v>0.467827712689896</v>
      </c>
      <c r="K39" s="20">
        <v>4.1972917133727</v>
      </c>
      <c r="L39" s="20">
        <v>1.138192555980974</v>
      </c>
      <c r="M39" s="20">
        <v>-0.4813887244654603</v>
      </c>
      <c r="N39" s="20">
        <v>403.57144</v>
      </c>
      <c r="O39" s="20">
        <v>2.1576414</v>
      </c>
      <c r="P39" s="12">
        <v>-0.08785999999999999</v>
      </c>
      <c r="Q39" s="12">
        <v>-0.112</v>
      </c>
      <c r="R39" s="12">
        <v>0.01333336357597825</v>
      </c>
      <c r="S39" s="11">
        <v>54.16855663700049</v>
      </c>
      <c r="T39" s="9" t="s">
        <v>87</v>
      </c>
    </row>
    <row r="40" spans="1:20" x14ac:dyDescent="0.25">
      <c r="A40" s="11">
        <v>36</v>
      </c>
      <c r="B40" s="9" t="s">
        <v>145</v>
      </c>
      <c r="C40" s="9" t="s">
        <v>146</v>
      </c>
      <c r="D40" s="9" t="s">
        <v>92</v>
      </c>
      <c r="E40" s="10">
        <v>119.379997253418</v>
      </c>
      <c r="F40" s="17">
        <v>0.3591119368714275</v>
      </c>
      <c r="G40" s="20">
        <v>1.185896662709272</v>
      </c>
      <c r="H40" s="20">
        <v>-0.6467007744749826</v>
      </c>
      <c r="I40" s="20">
        <v>0.146369195149319</v>
      </c>
      <c r="J40" s="20">
        <v>0.509282420047845</v>
      </c>
      <c r="K40" s="20">
        <v>0.1999285466170274</v>
      </c>
      <c r="L40" s="20">
        <v>1.025931813932411</v>
      </c>
      <c r="M40" s="20">
        <v>-0.04807898074397064</v>
      </c>
      <c r="N40" s="20">
        <v>11.062556</v>
      </c>
      <c r="O40" s="20">
        <v>1.3339746</v>
      </c>
      <c r="P40" s="12">
        <v>0.12011</v>
      </c>
      <c r="Q40" s="12">
        <v>0.141</v>
      </c>
      <c r="R40" s="12">
        <v>0.2759723296696863</v>
      </c>
      <c r="S40" s="11">
        <v>49.01858868837134</v>
      </c>
      <c r="T40" s="9" t="s">
        <v>87</v>
      </c>
    </row>
    <row r="41" spans="1:20" x14ac:dyDescent="0.25">
      <c r="A41" s="11">
        <v>37</v>
      </c>
      <c r="B41" s="9" t="s">
        <v>147</v>
      </c>
      <c r="C41" s="9" t="s">
        <v>148</v>
      </c>
      <c r="D41" s="9" t="s">
        <v>38</v>
      </c>
      <c r="E41" s="10">
        <v>135.0399932861328</v>
      </c>
      <c r="F41" s="17">
        <v>0.3569557698999941</v>
      </c>
      <c r="G41" s="20">
        <v>0.5166686592886003</v>
      </c>
      <c r="H41" s="20">
        <v>-0.1376180067425467</v>
      </c>
      <c r="I41" s="20">
        <v>0.8009706460259883</v>
      </c>
      <c r="J41" s="20">
        <v>0.84527793237839</v>
      </c>
      <c r="K41" s="20">
        <v>-0.06706319940340542</v>
      </c>
      <c r="L41" s="20">
        <v>0.4731600917334195</v>
      </c>
      <c r="M41" s="20">
        <v>-0.8506021698107358</v>
      </c>
      <c r="N41" s="20">
        <v>17.759258</v>
      </c>
      <c r="O41" s="20">
        <v>2.4681509</v>
      </c>
      <c r="P41" s="12">
        <v>0.1418</v>
      </c>
      <c r="Q41" s="12">
        <v>0.355</v>
      </c>
      <c r="R41" s="12">
        <v>0.1702209725733994</v>
      </c>
      <c r="S41" s="11">
        <v>64.3914408919788</v>
      </c>
      <c r="T41" s="9" t="s">
        <v>87</v>
      </c>
    </row>
    <row r="42" spans="1:20" x14ac:dyDescent="0.25">
      <c r="A42" s="11">
        <v>38</v>
      </c>
      <c r="B42" s="9" t="s">
        <v>149</v>
      </c>
      <c r="C42" s="9" t="s">
        <v>150</v>
      </c>
      <c r="D42" s="9" t="s">
        <v>38</v>
      </c>
      <c r="E42" s="10">
        <v>145.3600006103516</v>
      </c>
      <c r="F42" s="17">
        <v>0.3525353757260941</v>
      </c>
      <c r="G42" s="20">
        <v>0.6186160464919896</v>
      </c>
      <c r="H42" s="20">
        <v>0.4653349166417897</v>
      </c>
      <c r="I42" s="20">
        <v>1.428599056298859</v>
      </c>
      <c r="J42" s="20">
        <v>0.2986500093411688</v>
      </c>
      <c r="K42" s="20">
        <v>-0.5182585531433617</v>
      </c>
      <c r="L42" s="20">
        <v>0.2865535970011453</v>
      </c>
      <c r="M42" s="20">
        <v>-0.2590774647531525</v>
      </c>
      <c r="N42" s="20">
        <v>11.298833</v>
      </c>
      <c r="O42" s="20">
        <v>2.394452</v>
      </c>
      <c r="P42" s="12">
        <v>0.22507</v>
      </c>
      <c r="Q42" s="12">
        <v>0.587</v>
      </c>
      <c r="R42" s="12">
        <v>0.1208003282051089</v>
      </c>
      <c r="S42" s="11">
        <v>50.88260764505864</v>
      </c>
      <c r="T42" s="9" t="s">
        <v>87</v>
      </c>
    </row>
    <row r="43" spans="1:20" x14ac:dyDescent="0.25">
      <c r="A43" s="11">
        <v>39</v>
      </c>
      <c r="B43" s="9" t="s">
        <v>151</v>
      </c>
      <c r="C43" s="9" t="s">
        <v>152</v>
      </c>
      <c r="D43" s="9" t="s">
        <v>153</v>
      </c>
      <c r="E43" s="10">
        <v>127.0899963378906</v>
      </c>
      <c r="F43" s="17">
        <v>0.3498879729099648</v>
      </c>
      <c r="G43" s="20">
        <v>0.462770354618154</v>
      </c>
      <c r="H43" s="20">
        <v>0.7818596344809873</v>
      </c>
      <c r="I43" s="20">
        <v>-0.2047856713387676</v>
      </c>
      <c r="J43" s="20">
        <v>1.082681910991223</v>
      </c>
      <c r="K43" s="20">
        <v>-0.3330200936950768</v>
      </c>
      <c r="L43" s="20">
        <v>-0.5670289724339773</v>
      </c>
      <c r="M43" s="20">
        <v>-1.11062611265379</v>
      </c>
      <c r="N43" s="20">
        <v>16.152584</v>
      </c>
      <c r="O43" s="20">
        <v>3.848858</v>
      </c>
      <c r="P43" s="12">
        <v>0.25905</v>
      </c>
      <c r="Q43" s="12">
        <v>0.151</v>
      </c>
      <c r="R43" s="12">
        <v>0.09141523283859998</v>
      </c>
      <c r="S43" s="11">
        <v>59.21893500836516</v>
      </c>
      <c r="T43" s="9" t="s">
        <v>87</v>
      </c>
    </row>
    <row r="44" spans="1:20" x14ac:dyDescent="0.25">
      <c r="A44" s="11">
        <v>40</v>
      </c>
      <c r="B44" s="9" t="s">
        <v>154</v>
      </c>
      <c r="C44" s="9" t="s">
        <v>155</v>
      </c>
      <c r="D44" s="9" t="s">
        <v>105</v>
      </c>
      <c r="E44" s="10">
        <v>403.0899963378906</v>
      </c>
      <c r="F44" s="17">
        <v>0.348493922306141</v>
      </c>
      <c r="G44" s="20">
        <v>0.3688830871595546</v>
      </c>
      <c r="H44" s="20">
        <v>-1.053638917449358</v>
      </c>
      <c r="I44" s="20">
        <v>0.1661481722292586</v>
      </c>
      <c r="J44" s="20">
        <v>1.513072995384774</v>
      </c>
      <c r="K44" s="20">
        <v>-0.1721006498726843</v>
      </c>
      <c r="L44" s="20">
        <v>0.1932687714983893</v>
      </c>
      <c r="M44" s="20">
        <v>-0.1350446341777612</v>
      </c>
      <c r="N44" s="20">
        <v>38.02462</v>
      </c>
      <c r="O44" s="20">
        <v>2.5096092</v>
      </c>
      <c r="P44" s="12">
        <v>0.06893000000000001</v>
      </c>
      <c r="Q44" s="12">
        <v>0.262</v>
      </c>
      <c r="R44" s="12">
        <v>1.274648731403301</v>
      </c>
      <c r="S44" s="11">
        <v>60.23905928676178</v>
      </c>
      <c r="T44" s="9" t="s">
        <v>87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156</v>
      </c>
    </row>
    <row r="2" spans="1:3" x14ac:dyDescent="0.25">
      <c r="A2" s="2" t="s">
        <v>157</v>
      </c>
    </row>
    <row r="4" spans="1:3" x14ac:dyDescent="0.25">
      <c r="A4" s="8" t="s">
        <v>158</v>
      </c>
    </row>
    <row r="5" spans="1:3" ht="30" customHeight="1" x14ac:dyDescent="0.25">
      <c r="A5" s="15" t="s">
        <v>159</v>
      </c>
      <c r="B5" s="15" t="s">
        <v>160</v>
      </c>
      <c r="C5" s="15" t="s">
        <v>161</v>
      </c>
    </row>
    <row r="6" spans="1:3" x14ac:dyDescent="0.25">
      <c r="A6" s="9" t="s">
        <v>162</v>
      </c>
      <c r="B6" s="12">
        <v>0.18</v>
      </c>
      <c r="C6" s="9" t="s">
        <v>163</v>
      </c>
    </row>
    <row r="7" spans="1:3" x14ac:dyDescent="0.25">
      <c r="A7" s="9" t="s">
        <v>164</v>
      </c>
      <c r="B7" s="12">
        <v>0.16</v>
      </c>
      <c r="C7" s="9" t="s">
        <v>165</v>
      </c>
    </row>
    <row r="8" spans="1:3" x14ac:dyDescent="0.25">
      <c r="A8" s="9" t="s">
        <v>166</v>
      </c>
      <c r="B8" s="12">
        <v>0.1</v>
      </c>
      <c r="C8" s="9" t="s">
        <v>167</v>
      </c>
    </row>
    <row r="9" spans="1:3" x14ac:dyDescent="0.25">
      <c r="A9" s="9" t="s">
        <v>168</v>
      </c>
      <c r="B9" s="12">
        <v>0.3</v>
      </c>
      <c r="C9" s="9" t="s">
        <v>169</v>
      </c>
    </row>
    <row r="10" spans="1:3" x14ac:dyDescent="0.25">
      <c r="A10" s="9" t="s">
        <v>170</v>
      </c>
      <c r="B10" s="12">
        <v>0.12</v>
      </c>
      <c r="C10" s="9" t="s">
        <v>171</v>
      </c>
    </row>
    <row r="11" spans="1:3" x14ac:dyDescent="0.25">
      <c r="A11" s="9" t="s">
        <v>172</v>
      </c>
      <c r="B11" s="12">
        <v>0.06</v>
      </c>
      <c r="C11" s="9" t="s">
        <v>173</v>
      </c>
    </row>
    <row r="12" spans="1:3" x14ac:dyDescent="0.25">
      <c r="A12" s="9" t="s">
        <v>174</v>
      </c>
      <c r="B12" s="12">
        <v>0.08</v>
      </c>
      <c r="C12" s="9" t="s">
        <v>175</v>
      </c>
    </row>
    <row r="13" spans="1:3" x14ac:dyDescent="0.25">
      <c r="A13" s="13" t="s">
        <v>176</v>
      </c>
      <c r="B13" s="12">
        <f>SUM(B6:B12)</f>
        <v>0.9999999999999999</v>
      </c>
    </row>
    <row r="15" spans="1:3" x14ac:dyDescent="0.25">
      <c r="A15" s="8" t="s">
        <v>177</v>
      </c>
    </row>
    <row r="16" spans="1:3" x14ac:dyDescent="0.25">
      <c r="A16" s="14" t="s">
        <v>178</v>
      </c>
    </row>
    <row r="18" spans="1:7" x14ac:dyDescent="0.25">
      <c r="A18" s="8" t="s">
        <v>179</v>
      </c>
    </row>
    <row r="19" spans="1:7" x14ac:dyDescent="0.25">
      <c r="A19" s="14" t="s">
        <v>180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206</v>
      </c>
    </row>
    <row r="3" spans="1:2">
      <c r="A3" s="8" t="s">
        <v>207</v>
      </c>
    </row>
    <row r="4" spans="1:2">
      <c r="A4" s="9" t="s">
        <v>208</v>
      </c>
      <c r="B4" s="9" t="s">
        <v>209</v>
      </c>
    </row>
    <row r="5" spans="1:2">
      <c r="A5" s="9" t="s">
        <v>210</v>
      </c>
      <c r="B5" s="9" t="s">
        <v>68</v>
      </c>
    </row>
    <row r="6" spans="1:2">
      <c r="A6" s="9" t="s">
        <v>211</v>
      </c>
      <c r="B6" s="9" t="s">
        <v>212</v>
      </c>
    </row>
    <row r="7" spans="1:2">
      <c r="A7" s="9" t="s">
        <v>213</v>
      </c>
      <c r="B7" s="9" t="s">
        <v>214</v>
      </c>
    </row>
    <row r="8" spans="1:2">
      <c r="A8" s="9" t="s">
        <v>215</v>
      </c>
      <c r="B8" s="9" t="s">
        <v>93</v>
      </c>
    </row>
    <row r="9" spans="1:2">
      <c r="A9" s="9" t="s">
        <v>216</v>
      </c>
      <c r="B9" s="9" t="s">
        <v>30</v>
      </c>
    </row>
    <row r="10" spans="1:2">
      <c r="A10" s="9" t="s">
        <v>217</v>
      </c>
      <c r="B10" s="9" t="s">
        <v>218</v>
      </c>
    </row>
    <row r="11" spans="1:2">
      <c r="A11" s="9" t="s">
        <v>219</v>
      </c>
      <c r="B11" s="9" t="s">
        <v>220</v>
      </c>
    </row>
    <row r="12" spans="1:2">
      <c r="A12" s="9" t="s">
        <v>221</v>
      </c>
      <c r="B12" s="9" t="s">
        <v>222</v>
      </c>
    </row>
    <row r="13" spans="1:2">
      <c r="A13" s="9" t="s">
        <v>223</v>
      </c>
      <c r="B13" s="9" t="s">
        <v>224</v>
      </c>
    </row>
    <row r="14" spans="1:2">
      <c r="A14" s="9" t="s">
        <v>225</v>
      </c>
      <c r="B14" s="9" t="s">
        <v>220</v>
      </c>
    </row>
    <row r="16" spans="1:2">
      <c r="A16" s="8" t="s">
        <v>226</v>
      </c>
    </row>
    <row r="17" spans="1:2" ht="30" customHeight="1">
      <c r="A17" s="13" t="s">
        <v>227</v>
      </c>
      <c r="B17" s="14" t="s">
        <v>228</v>
      </c>
    </row>
    <row r="18" spans="1:2" ht="30" customHeight="1">
      <c r="A18" s="13" t="s">
        <v>229</v>
      </c>
      <c r="B18" s="14" t="s">
        <v>230</v>
      </c>
    </row>
    <row r="19" spans="1:2" ht="30" customHeight="1">
      <c r="A19" s="13" t="s">
        <v>231</v>
      </c>
      <c r="B19" s="14" t="s">
        <v>232</v>
      </c>
    </row>
    <row r="20" spans="1:2" ht="30" customHeight="1">
      <c r="A20" s="13" t="s">
        <v>233</v>
      </c>
      <c r="B20" s="14" t="s">
        <v>234</v>
      </c>
    </row>
    <row r="22" spans="1:2">
      <c r="A22" s="8" t="s">
        <v>235</v>
      </c>
    </row>
    <row r="23" spans="1:2" ht="32" customHeight="1">
      <c r="A23" s="21" t="s">
        <v>236</v>
      </c>
      <c r="B23" s="21"/>
    </row>
    <row r="24" spans="1:2" ht="32" customHeight="1">
      <c r="A24" s="21" t="s">
        <v>237</v>
      </c>
      <c r="B24" s="21"/>
    </row>
    <row r="25" spans="1:2" ht="32" customHeight="1">
      <c r="A25" s="21" t="s">
        <v>238</v>
      </c>
      <c r="B25" s="21"/>
    </row>
    <row r="26" spans="1:2" ht="32" customHeight="1">
      <c r="A26" s="21" t="s">
        <v>239</v>
      </c>
      <c r="B26" s="21"/>
    </row>
    <row r="27" spans="1:2" ht="32" customHeight="1">
      <c r="A27" s="21" t="s">
        <v>240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9"/>
  <sheetViews>
    <sheetView workbookViewId="0"/>
  </sheetViews>
  <sheetFormatPr defaultRowHeight="15"/>
  <sheetData>
    <row r="1" spans="1:61">
      <c r="A1" t="s">
        <v>0</v>
      </c>
      <c r="B1">
        <v>394.9174194335938</v>
      </c>
      <c r="C1">
        <v>408.3951416015625</v>
      </c>
      <c r="D1">
        <v>403.4133605957031</v>
      </c>
      <c r="E1">
        <v>418.6282348632812</v>
      </c>
      <c r="F1">
        <v>408.8244323730469</v>
      </c>
      <c r="G1">
        <v>418.0192260742188</v>
      </c>
      <c r="H1">
        <v>427.0742797851562</v>
      </c>
      <c r="I1">
        <v>433.3439025878906</v>
      </c>
      <c r="J1">
        <v>408.7745361328125</v>
      </c>
      <c r="K1">
        <v>398.8309326171875</v>
      </c>
      <c r="L1">
        <v>413.9259948730469</v>
      </c>
      <c r="M1">
        <v>430.7481994628906</v>
      </c>
      <c r="N1">
        <v>424.5484619140625</v>
      </c>
      <c r="O1">
        <v>393.6694946289062</v>
      </c>
      <c r="P1">
        <v>411.1206359863281</v>
      </c>
      <c r="Q1">
        <v>416.5915832519531</v>
      </c>
      <c r="R1">
        <v>431.2573547363281</v>
      </c>
      <c r="S1">
        <v>449.4772644042969</v>
      </c>
      <c r="T1">
        <v>434.2524108886719</v>
      </c>
      <c r="U1">
        <v>426.4053649902344</v>
      </c>
      <c r="V1">
        <v>456.7851867675781</v>
      </c>
      <c r="W1">
        <v>411.9991760253906</v>
      </c>
      <c r="X1">
        <v>390.7343444824219</v>
      </c>
      <c r="Y1">
        <v>395.6861267089844</v>
      </c>
      <c r="Z1">
        <v>381.25</v>
      </c>
      <c r="AA1">
        <v>404.1499938964844</v>
      </c>
      <c r="AB1">
        <v>441.7999877929688</v>
      </c>
      <c r="AC1">
        <v>439.3399963378906</v>
      </c>
      <c r="AD1">
        <v>437.5</v>
      </c>
      <c r="AE1">
        <v>426.9100036621094</v>
      </c>
      <c r="AF1">
        <v>392.1000061035156</v>
      </c>
      <c r="AG1">
        <v>369.6400146484375</v>
      </c>
      <c r="AH1">
        <v>404.8099975585938</v>
      </c>
      <c r="AI1">
        <v>405.3699951171875</v>
      </c>
      <c r="AJ1">
        <v>429.0199890136719</v>
      </c>
      <c r="AK1">
        <v>467.2699890136719</v>
      </c>
      <c r="AL1">
        <v>462.7000122070312</v>
      </c>
      <c r="AM1">
        <v>437.6499938964844</v>
      </c>
      <c r="AN1">
        <v>453.7699890136719</v>
      </c>
      <c r="AO1">
        <v>457.8800048828125</v>
      </c>
      <c r="AP1">
        <v>440.9700012207031</v>
      </c>
      <c r="AQ1">
        <v>484.5</v>
      </c>
      <c r="AR1">
        <v>494.510009765625</v>
      </c>
      <c r="AS1">
        <v>490.8099975585938</v>
      </c>
      <c r="AT1">
        <v>479.8099975585938</v>
      </c>
      <c r="AU1">
        <v>468.6499938964844</v>
      </c>
      <c r="AV1">
        <v>437.5499877929688</v>
      </c>
      <c r="AW1">
        <v>434.7799987792969</v>
      </c>
      <c r="AX1">
        <v>442.0799865722656</v>
      </c>
      <c r="AY1">
        <v>433.1900024414062</v>
      </c>
      <c r="AZ1">
        <v>451.5</v>
      </c>
      <c r="BA1">
        <v>463.8200073242188</v>
      </c>
      <c r="BB1">
        <v>472.260009765625</v>
      </c>
      <c r="BC1">
        <v>456.239990234375</v>
      </c>
      <c r="BD1">
        <v>456.010009765625</v>
      </c>
      <c r="BE1">
        <v>425</v>
      </c>
      <c r="BF1">
        <v>492.2000122070312</v>
      </c>
      <c r="BG1">
        <v>516.3900146484375</v>
      </c>
      <c r="BH1">
        <v>524.1400146484375</v>
      </c>
      <c r="BI1">
        <v>533.8800048828125</v>
      </c>
    </row>
    <row r="2" spans="1:61">
      <c r="A2" t="s">
        <v>1</v>
      </c>
      <c r="B2">
        <v>981.4590454101562</v>
      </c>
      <c r="C2">
        <v>1087.822631835938</v>
      </c>
      <c r="D2">
        <v>1020.60302734375</v>
      </c>
      <c r="E2">
        <v>1043.029541015625</v>
      </c>
      <c r="F2">
        <v>1133.815551757812</v>
      </c>
      <c r="G2">
        <v>1211.193725585938</v>
      </c>
      <c r="H2">
        <v>1051.608276367188</v>
      </c>
      <c r="I2">
        <v>1048.348754882812</v>
      </c>
      <c r="J2">
        <v>1213.373413085938</v>
      </c>
      <c r="K2">
        <v>1132.155883789062</v>
      </c>
      <c r="L2">
        <v>1145.103881835938</v>
      </c>
      <c r="M2">
        <v>1154.112548828125</v>
      </c>
      <c r="N2">
        <v>1032.121337890625</v>
      </c>
      <c r="O2">
        <v>975.4099731445312</v>
      </c>
      <c r="P2">
        <v>984.75</v>
      </c>
      <c r="Q2">
        <v>938.3800048828125</v>
      </c>
      <c r="R2">
        <v>948.7999877929688</v>
      </c>
      <c r="S2">
        <v>991.6400146484375</v>
      </c>
      <c r="T2">
        <v>979.2999877929688</v>
      </c>
      <c r="U2">
        <v>937</v>
      </c>
      <c r="V2">
        <v>983.1199951171875</v>
      </c>
      <c r="W2">
        <v>904.280029296875</v>
      </c>
      <c r="X2">
        <v>853.2000122070312</v>
      </c>
      <c r="Y2">
        <v>848.9500122070312</v>
      </c>
      <c r="Z2">
        <v>865.4600219726562</v>
      </c>
      <c r="AA2">
        <v>970.8200073242188</v>
      </c>
      <c r="AB2">
        <v>959.47998046875</v>
      </c>
      <c r="AC2">
        <v>990.2100219726562</v>
      </c>
      <c r="AD2">
        <v>920.9500122070312</v>
      </c>
      <c r="AE2">
        <v>900.2000122070312</v>
      </c>
      <c r="AF2">
        <v>820.530029296875</v>
      </c>
      <c r="AG2">
        <v>739</v>
      </c>
      <c r="AH2">
        <v>874.6599731445312</v>
      </c>
      <c r="AI2">
        <v>823.030029296875</v>
      </c>
      <c r="AJ2">
        <v>829.5</v>
      </c>
      <c r="AK2">
        <v>892.6699829101562</v>
      </c>
      <c r="AL2">
        <v>893.1900024414062</v>
      </c>
      <c r="AM2">
        <v>881.469970703125</v>
      </c>
      <c r="AN2">
        <v>877.5700073242188</v>
      </c>
      <c r="AO2">
        <v>861</v>
      </c>
      <c r="AP2">
        <v>868.52001953125</v>
      </c>
      <c r="AQ2">
        <v>911.2899780273438</v>
      </c>
      <c r="AR2">
        <v>949.8300170898438</v>
      </c>
      <c r="AS2">
        <v>971.6599731445312</v>
      </c>
      <c r="AT2">
        <v>1011.75</v>
      </c>
      <c r="AU2">
        <v>940.760009765625</v>
      </c>
      <c r="AV2">
        <v>937.1099853515625</v>
      </c>
      <c r="AW2">
        <v>974.3300170898438</v>
      </c>
      <c r="AX2">
        <v>966.780029296875</v>
      </c>
      <c r="AY2">
        <v>910.4299926757812</v>
      </c>
      <c r="AZ2">
        <v>932.969970703125</v>
      </c>
      <c r="BA2">
        <v>938.4000244140625</v>
      </c>
      <c r="BB2">
        <v>935.3900146484375</v>
      </c>
      <c r="BC2">
        <v>932.8599853515625</v>
      </c>
      <c r="BD2">
        <v>958.72998046875</v>
      </c>
      <c r="BE2">
        <v>933.4400024414062</v>
      </c>
      <c r="BF2">
        <v>956.0800170898438</v>
      </c>
      <c r="BG2">
        <v>958.1599731445312</v>
      </c>
      <c r="BH2">
        <v>1016.590026855469</v>
      </c>
      <c r="BI2">
        <v>1000.260009765625</v>
      </c>
    </row>
    <row r="3" spans="1:61">
      <c r="A3" t="s">
        <v>2</v>
      </c>
      <c r="B3">
        <v>1980.099975585938</v>
      </c>
      <c r="C3">
        <v>2107.860107421875</v>
      </c>
      <c r="D3">
        <v>1991.550048828125</v>
      </c>
      <c r="E3">
        <v>1958.800048828125</v>
      </c>
      <c r="F3">
        <v>2184.75</v>
      </c>
      <c r="G3">
        <v>2273.72998046875</v>
      </c>
      <c r="H3">
        <v>1963.599975585938</v>
      </c>
      <c r="I3">
        <v>1914.4599609375</v>
      </c>
      <c r="J3">
        <v>2335</v>
      </c>
      <c r="K3">
        <v>2090.7099609375</v>
      </c>
      <c r="L3">
        <v>2050.389892578125</v>
      </c>
      <c r="M3">
        <v>2273.72998046875</v>
      </c>
      <c r="N3">
        <v>2032.219970703125</v>
      </c>
      <c r="O3">
        <v>1745</v>
      </c>
      <c r="P3">
        <v>1744.430053710938</v>
      </c>
      <c r="Q3">
        <v>1617.699951171875</v>
      </c>
      <c r="R3">
        <v>1727.180053710938</v>
      </c>
      <c r="S3">
        <v>1858.27001953125</v>
      </c>
      <c r="T3">
        <v>1915.920043945312</v>
      </c>
      <c r="U3">
        <v>1673.969970703125</v>
      </c>
      <c r="V3">
        <v>1757.819946289062</v>
      </c>
      <c r="W3">
        <v>1615</v>
      </c>
      <c r="X3">
        <v>1411.079956054688</v>
      </c>
      <c r="Y3">
        <v>1354.819946289062</v>
      </c>
      <c r="Z3">
        <v>1390.949951171875</v>
      </c>
      <c r="AA3">
        <v>1589.400024414062</v>
      </c>
      <c r="AB3">
        <v>1599.27001953125</v>
      </c>
      <c r="AC3">
        <v>1610.329956054688</v>
      </c>
      <c r="AD3">
        <v>1436.56005859375</v>
      </c>
      <c r="AE3">
        <v>1278.22998046875</v>
      </c>
      <c r="AF3">
        <v>1096.099975585938</v>
      </c>
      <c r="AG3">
        <v>1015.890014648438</v>
      </c>
      <c r="AH3">
        <v>1279.9599609375</v>
      </c>
      <c r="AI3">
        <v>1214.829956054688</v>
      </c>
      <c r="AJ3">
        <v>1288.030029296875</v>
      </c>
      <c r="AK3">
        <v>1427.619995117188</v>
      </c>
      <c r="AL3">
        <v>1350.5</v>
      </c>
      <c r="AM3">
        <v>1258.579956054688</v>
      </c>
      <c r="AN3">
        <v>1212.2099609375</v>
      </c>
      <c r="AO3">
        <v>1237.920043945312</v>
      </c>
      <c r="AP3">
        <v>1271.050048828125</v>
      </c>
      <c r="AQ3">
        <v>1344.2900390625</v>
      </c>
      <c r="AR3">
        <v>1528.109985351562</v>
      </c>
      <c r="AS3">
        <v>1641.109985351562</v>
      </c>
      <c r="AT3">
        <v>1786.849975585938</v>
      </c>
      <c r="AU3">
        <v>1625.780029296875</v>
      </c>
      <c r="AV3">
        <v>1568.869995117188</v>
      </c>
      <c r="AW3">
        <v>1600.619995117188</v>
      </c>
      <c r="AX3">
        <v>1596.079956054688</v>
      </c>
      <c r="AY3">
        <v>1493.119995117188</v>
      </c>
      <c r="AZ3">
        <v>1480.77001953125</v>
      </c>
      <c r="BA3">
        <v>1499.369995117188</v>
      </c>
      <c r="BB3">
        <v>1484.949951171875</v>
      </c>
      <c r="BC3">
        <v>1484.97998046875</v>
      </c>
      <c r="BD3">
        <v>1566.699951171875</v>
      </c>
      <c r="BE3">
        <v>1536.869995117188</v>
      </c>
      <c r="BF3">
        <v>1553.400024414062</v>
      </c>
      <c r="BG3">
        <v>1554.989990234375</v>
      </c>
      <c r="BH3">
        <v>1740</v>
      </c>
      <c r="BI3">
        <v>1737.989990234375</v>
      </c>
    </row>
    <row r="4" spans="1:61">
      <c r="A4" t="s">
        <v>3</v>
      </c>
      <c r="B4">
        <v>562.7493286132812</v>
      </c>
      <c r="C4">
        <v>653.3203125</v>
      </c>
      <c r="D4">
        <v>680.8614501953125</v>
      </c>
      <c r="E4">
        <v>711.9014892578125</v>
      </c>
      <c r="F4">
        <v>745.990478515625</v>
      </c>
      <c r="G4">
        <v>732.3848876953125</v>
      </c>
      <c r="H4">
        <v>670.5347290039062</v>
      </c>
      <c r="I4">
        <v>643.6234130859375</v>
      </c>
      <c r="J4">
        <v>675.1732788085938</v>
      </c>
      <c r="K4">
        <v>586.2618408203125</v>
      </c>
      <c r="L4">
        <v>651.6708374023438</v>
      </c>
      <c r="M4">
        <v>638.5150146484375</v>
      </c>
      <c r="N4">
        <v>598.177978515625</v>
      </c>
      <c r="O4">
        <v>538.8270263671875</v>
      </c>
      <c r="P4">
        <v>577.2747192382812</v>
      </c>
      <c r="Q4">
        <v>531.92919921875</v>
      </c>
      <c r="R4">
        <v>550.1234130859375</v>
      </c>
      <c r="S4">
        <v>577.864501953125</v>
      </c>
      <c r="T4">
        <v>582.403076171875</v>
      </c>
      <c r="U4">
        <v>555.3717041015625</v>
      </c>
      <c r="V4">
        <v>563.1392211914062</v>
      </c>
      <c r="W4">
        <v>513.6751098632812</v>
      </c>
      <c r="X4">
        <v>466.6601867675781</v>
      </c>
      <c r="Y4">
        <v>477.0668640136719</v>
      </c>
      <c r="Z4">
        <v>487.2635803222656</v>
      </c>
      <c r="AA4">
        <v>548.2140502929688</v>
      </c>
      <c r="AB4">
        <v>556.4913330078125</v>
      </c>
      <c r="AC4">
        <v>558.120849609375</v>
      </c>
      <c r="AD4">
        <v>519.6331787109375</v>
      </c>
      <c r="AE4">
        <v>497.7602233886719</v>
      </c>
      <c r="AF4">
        <v>463.3612670898438</v>
      </c>
      <c r="AG4">
        <v>461.8917236328125</v>
      </c>
      <c r="AH4">
        <v>532.868896484375</v>
      </c>
      <c r="AI4">
        <v>544.6651611328125</v>
      </c>
      <c r="AJ4">
        <v>527.05078125</v>
      </c>
      <c r="AK4">
        <v>548.3839721679688</v>
      </c>
      <c r="AL4">
        <v>519.0033569335938</v>
      </c>
      <c r="AM4">
        <v>451.3750915527344</v>
      </c>
      <c r="AN4">
        <v>434.1606140136719</v>
      </c>
      <c r="AO4">
        <v>438.1993408203125</v>
      </c>
      <c r="AP4">
        <v>437.7894592285156</v>
      </c>
      <c r="AQ4">
        <v>453.9542846679688</v>
      </c>
      <c r="AR4">
        <v>487.1336364746094</v>
      </c>
      <c r="AS4">
        <v>508.63671875</v>
      </c>
      <c r="AT4">
        <v>535.8380126953125</v>
      </c>
      <c r="AU4">
        <v>496.0007934570312</v>
      </c>
      <c r="AV4">
        <v>461.9417114257812</v>
      </c>
      <c r="AW4">
        <v>468.8994750976562</v>
      </c>
      <c r="AX4">
        <v>459.2925720214844</v>
      </c>
      <c r="AY4">
        <v>435.2402954101562</v>
      </c>
      <c r="AZ4">
        <v>450.6053466796875</v>
      </c>
      <c r="BA4">
        <v>468.7295227050781</v>
      </c>
      <c r="BB4">
        <v>461.8517456054688</v>
      </c>
      <c r="BC4">
        <v>459.3025817871094</v>
      </c>
      <c r="BD4">
        <v>450.4053955078125</v>
      </c>
      <c r="BE4">
        <v>450.2954406738281</v>
      </c>
      <c r="BF4">
        <v>448.7559509277344</v>
      </c>
      <c r="BG4">
        <v>441.4283142089844</v>
      </c>
      <c r="BH4">
        <v>467.3099670410156</v>
      </c>
      <c r="BI4">
        <v>477.2999877929688</v>
      </c>
    </row>
    <row r="5" spans="1:61">
      <c r="A5" t="s">
        <v>4</v>
      </c>
      <c r="B5">
        <v>257.6741943359375</v>
      </c>
      <c r="C5">
        <v>246.20849609375</v>
      </c>
      <c r="D5">
        <v>243.1901702880859</v>
      </c>
      <c r="E5">
        <v>238.8469543457031</v>
      </c>
      <c r="F5">
        <v>235.3903045654297</v>
      </c>
      <c r="G5">
        <v>242.8415069580078</v>
      </c>
      <c r="H5">
        <v>242.7418823242188</v>
      </c>
      <c r="I5">
        <v>241.4967041015625</v>
      </c>
      <c r="J5">
        <v>254.0780792236328</v>
      </c>
      <c r="K5">
        <v>258.3714904785156</v>
      </c>
      <c r="L5">
        <v>265.2947387695312</v>
      </c>
      <c r="M5">
        <v>259.4373779296875</v>
      </c>
      <c r="N5">
        <v>268.4027404785156</v>
      </c>
      <c r="O5">
        <v>266.7291870117188</v>
      </c>
      <c r="P5">
        <v>269.2793579101562</v>
      </c>
      <c r="Q5">
        <v>265.1951293945312</v>
      </c>
      <c r="R5">
        <v>281.7909851074219</v>
      </c>
      <c r="S5">
        <v>280.1672668457031</v>
      </c>
      <c r="T5">
        <v>279.6094055175781</v>
      </c>
      <c r="U5">
        <v>294.6513061523438</v>
      </c>
      <c r="V5">
        <v>300.2695617675781</v>
      </c>
      <c r="W5">
        <v>291.5333251953125</v>
      </c>
      <c r="X5">
        <v>299.1040954589844</v>
      </c>
      <c r="Y5">
        <v>308.4579162597656</v>
      </c>
      <c r="Z5">
        <v>312.1038208007812</v>
      </c>
      <c r="AA5">
        <v>313.5880737304688</v>
      </c>
      <c r="AB5">
        <v>309.7230529785156</v>
      </c>
      <c r="AC5">
        <v>304.0848388671875</v>
      </c>
      <c r="AD5">
        <v>301.33544921875</v>
      </c>
      <c r="AE5">
        <v>303.756103515625</v>
      </c>
      <c r="AF5">
        <v>297.7294006347656</v>
      </c>
      <c r="AG5">
        <v>300.1600036621094</v>
      </c>
      <c r="AH5">
        <v>310.5099792480469</v>
      </c>
      <c r="AI5">
        <v>312.8999938964844</v>
      </c>
      <c r="AJ5">
        <v>307.5400085449219</v>
      </c>
      <c r="AK5">
        <v>308.7300109863281</v>
      </c>
      <c r="AL5">
        <v>302.3900146484375</v>
      </c>
      <c r="AM5">
        <v>302.989990234375</v>
      </c>
      <c r="AN5">
        <v>298.3099975585938</v>
      </c>
      <c r="AO5">
        <v>314.9500122070312</v>
      </c>
      <c r="AP5">
        <v>323.9200134277344</v>
      </c>
      <c r="AQ5">
        <v>330.2099914550781</v>
      </c>
      <c r="AR5">
        <v>342.9200134277344</v>
      </c>
      <c r="AS5">
        <v>341.6700134277344</v>
      </c>
      <c r="AT5">
        <v>347.1900024414062</v>
      </c>
      <c r="AU5">
        <v>350.0499877929688</v>
      </c>
      <c r="AV5">
        <v>346.260009765625</v>
      </c>
      <c r="AW5">
        <v>341.510009765625</v>
      </c>
      <c r="AX5">
        <v>348.8599853515625</v>
      </c>
      <c r="AY5">
        <v>346</v>
      </c>
      <c r="AZ5">
        <v>340.4100036621094</v>
      </c>
      <c r="BA5">
        <v>348.0299987792969</v>
      </c>
      <c r="BB5">
        <v>346.5899963378906</v>
      </c>
      <c r="BC5">
        <v>352.3599853515625</v>
      </c>
      <c r="BD5">
        <v>358.9200134277344</v>
      </c>
      <c r="BE5">
        <v>361.989990234375</v>
      </c>
      <c r="BF5">
        <v>366.0899963378906</v>
      </c>
      <c r="BG5">
        <v>370.6900024414062</v>
      </c>
      <c r="BH5">
        <v>370.7200012207031</v>
      </c>
      <c r="BI5">
        <v>382.8500061035156</v>
      </c>
    </row>
    <row r="6" spans="1:61">
      <c r="A6" t="s">
        <v>5</v>
      </c>
      <c r="B6">
        <v>262.8602294921875</v>
      </c>
      <c r="C6">
        <v>250.1749877929688</v>
      </c>
      <c r="D6">
        <v>249.7860565185547</v>
      </c>
      <c r="E6">
        <v>243.9420471191406</v>
      </c>
      <c r="F6">
        <v>242.2467041015625</v>
      </c>
      <c r="G6">
        <v>246.6147308349609</v>
      </c>
      <c r="H6">
        <v>247.8413848876953</v>
      </c>
      <c r="I6">
        <v>245.8368530273438</v>
      </c>
      <c r="J6">
        <v>252.8676147460938</v>
      </c>
      <c r="K6">
        <v>253.3662414550781</v>
      </c>
      <c r="L6">
        <v>258.5121459960938</v>
      </c>
      <c r="M6">
        <v>254.9718475341797</v>
      </c>
      <c r="N6">
        <v>264.146728515625</v>
      </c>
      <c r="O6">
        <v>265.6226806640625</v>
      </c>
      <c r="P6">
        <v>268.2554626464844</v>
      </c>
      <c r="Q6">
        <v>265.6027221679688</v>
      </c>
      <c r="R6">
        <v>279.9135437011719</v>
      </c>
      <c r="S6">
        <v>282.5263977050781</v>
      </c>
      <c r="T6">
        <v>282.9651794433594</v>
      </c>
      <c r="U6">
        <v>296.0693359375</v>
      </c>
      <c r="V6">
        <v>302.5715026855469</v>
      </c>
      <c r="W6">
        <v>298.363037109375</v>
      </c>
      <c r="X6">
        <v>305.0148315429688</v>
      </c>
      <c r="Y6">
        <v>311.7463989257812</v>
      </c>
      <c r="Z6">
        <v>314.4490051269531</v>
      </c>
      <c r="AA6">
        <v>318.8868408203125</v>
      </c>
      <c r="AB6">
        <v>314.9576110839844</v>
      </c>
      <c r="AC6">
        <v>311.4172973632812</v>
      </c>
      <c r="AD6">
        <v>308.3955688476562</v>
      </c>
      <c r="AE6">
        <v>311.4970703125</v>
      </c>
      <c r="AF6">
        <v>305.2142639160156</v>
      </c>
      <c r="AG6">
        <v>307.8769836425781</v>
      </c>
      <c r="AH6">
        <v>313.2223510742188</v>
      </c>
      <c r="AI6">
        <v>315.6058349609375</v>
      </c>
      <c r="AJ6">
        <v>306.1915893554688</v>
      </c>
      <c r="AK6">
        <v>311.75634765625</v>
      </c>
      <c r="AL6">
        <v>296.9369506835938</v>
      </c>
      <c r="AM6">
        <v>298.432861328125</v>
      </c>
      <c r="AN6">
        <v>297.3857421875</v>
      </c>
      <c r="AO6">
        <v>319.4453125</v>
      </c>
      <c r="AP6">
        <v>335.5013732910156</v>
      </c>
      <c r="AQ6">
        <v>347.2990417480469</v>
      </c>
      <c r="AR6">
        <v>355.3968811035156</v>
      </c>
      <c r="AS6">
        <v>354.4494934082031</v>
      </c>
      <c r="AT6">
        <v>357.2019348144531</v>
      </c>
      <c r="AU6">
        <v>365.2099914550781</v>
      </c>
      <c r="AV6">
        <v>360.75</v>
      </c>
      <c r="AW6">
        <v>358.2300109863281</v>
      </c>
      <c r="AX6">
        <v>360.7200012207031</v>
      </c>
      <c r="AY6">
        <v>362.5199890136719</v>
      </c>
      <c r="AZ6">
        <v>354.8800048828125</v>
      </c>
      <c r="BA6">
        <v>362.2699890136719</v>
      </c>
      <c r="BB6">
        <v>363.5400085449219</v>
      </c>
      <c r="BC6">
        <v>368.8299865722656</v>
      </c>
      <c r="BD6">
        <v>373.3200073242188</v>
      </c>
      <c r="BE6">
        <v>383</v>
      </c>
      <c r="BF6">
        <v>387</v>
      </c>
      <c r="BG6">
        <v>387.7099914550781</v>
      </c>
      <c r="BH6">
        <v>388.8999938964844</v>
      </c>
      <c r="BI6">
        <v>397.7699890136719</v>
      </c>
    </row>
    <row r="7" spans="1:61">
      <c r="A7" t="s">
        <v>6</v>
      </c>
      <c r="B7">
        <v>56.54000091552734</v>
      </c>
      <c r="C7">
        <v>54.45999908447266</v>
      </c>
      <c r="D7">
        <v>53.66999816894531</v>
      </c>
      <c r="E7">
        <v>53.04000091552734</v>
      </c>
      <c r="F7">
        <v>51.81999969482422</v>
      </c>
      <c r="G7">
        <v>52</v>
      </c>
      <c r="H7">
        <v>52.22999954223633</v>
      </c>
      <c r="I7">
        <v>51.09000015258789</v>
      </c>
      <c r="J7">
        <v>51.20999908447266</v>
      </c>
      <c r="K7">
        <v>49.9900016784668</v>
      </c>
      <c r="L7">
        <v>49.09000015258789</v>
      </c>
      <c r="M7">
        <v>48.56999969482422</v>
      </c>
      <c r="N7">
        <v>47.93999862670898</v>
      </c>
      <c r="O7">
        <v>48.90999984741211</v>
      </c>
      <c r="P7">
        <v>48.81000137329102</v>
      </c>
      <c r="Q7">
        <v>51.68000030517578</v>
      </c>
      <c r="R7">
        <v>53.59000015258789</v>
      </c>
      <c r="S7">
        <v>52.29999923706055</v>
      </c>
      <c r="T7">
        <v>52.88999938964844</v>
      </c>
      <c r="U7">
        <v>54.81000137329102</v>
      </c>
      <c r="V7">
        <v>54.56999969482422</v>
      </c>
      <c r="W7">
        <v>53.77000045776367</v>
      </c>
      <c r="X7">
        <v>53.65000152587891</v>
      </c>
      <c r="Y7">
        <v>54.86000061035156</v>
      </c>
      <c r="Z7">
        <v>55.18999862670898</v>
      </c>
      <c r="AA7">
        <v>56.5</v>
      </c>
      <c r="AB7">
        <v>57.5</v>
      </c>
      <c r="AC7">
        <v>57.59999847412109</v>
      </c>
      <c r="AD7">
        <v>57.29999923706055</v>
      </c>
      <c r="AE7">
        <v>54.93000030517578</v>
      </c>
      <c r="AF7">
        <v>53.93000030517578</v>
      </c>
      <c r="AG7">
        <v>56.02999877929688</v>
      </c>
      <c r="AH7">
        <v>55.95000076293945</v>
      </c>
      <c r="AI7">
        <v>57.06999969482422</v>
      </c>
      <c r="AJ7">
        <v>55.47000122070312</v>
      </c>
      <c r="AK7">
        <v>55.09000015258789</v>
      </c>
      <c r="AL7">
        <v>53.81000137329102</v>
      </c>
      <c r="AM7">
        <v>56.04000091552734</v>
      </c>
      <c r="AN7">
        <v>55.90999984741211</v>
      </c>
      <c r="AO7">
        <v>58.65000152587891</v>
      </c>
      <c r="AP7">
        <v>59.06000137329102</v>
      </c>
      <c r="AQ7">
        <v>58.54999923706055</v>
      </c>
      <c r="AR7">
        <v>57.70000076293945</v>
      </c>
      <c r="AS7">
        <v>58.36000061035156</v>
      </c>
      <c r="AT7">
        <v>59.04000091552734</v>
      </c>
      <c r="AU7">
        <v>59.79999923706055</v>
      </c>
      <c r="AV7">
        <v>60.09000015258789</v>
      </c>
      <c r="AW7">
        <v>61.52000045776367</v>
      </c>
      <c r="AX7">
        <v>61.29999923706055</v>
      </c>
      <c r="AY7">
        <v>60.11000061035156</v>
      </c>
      <c r="AZ7">
        <v>58.40999984741211</v>
      </c>
      <c r="BA7">
        <v>58.61999893188477</v>
      </c>
      <c r="BB7">
        <v>59.16999816894531</v>
      </c>
      <c r="BC7">
        <v>59.09999847412109</v>
      </c>
      <c r="BD7">
        <v>60.18000030517578</v>
      </c>
      <c r="BE7">
        <v>60.95000076293945</v>
      </c>
      <c r="BF7">
        <v>60.90999984741211</v>
      </c>
      <c r="BG7">
        <v>60.61000061035156</v>
      </c>
      <c r="BH7">
        <v>60.04000091552734</v>
      </c>
      <c r="BI7">
        <v>60.65000152587891</v>
      </c>
    </row>
    <row r="8" spans="1:61">
      <c r="A8" t="s">
        <v>7</v>
      </c>
      <c r="B8">
        <v>178.5025787353516</v>
      </c>
      <c r="C8">
        <v>172.3452606201172</v>
      </c>
      <c r="D8">
        <v>171.0919189453125</v>
      </c>
      <c r="E8">
        <v>166.2874145507812</v>
      </c>
      <c r="F8">
        <v>165.2628631591797</v>
      </c>
      <c r="G8">
        <v>167.5208740234375</v>
      </c>
      <c r="H8">
        <v>169.440673828125</v>
      </c>
      <c r="I8">
        <v>167.7496643066406</v>
      </c>
      <c r="J8">
        <v>170.8531799316406</v>
      </c>
      <c r="K8">
        <v>170.7437591552734</v>
      </c>
      <c r="L8">
        <v>173.131103515625</v>
      </c>
      <c r="M8">
        <v>168.1575012207031</v>
      </c>
      <c r="N8">
        <v>173.5787200927734</v>
      </c>
      <c r="O8">
        <v>175.4885864257812</v>
      </c>
      <c r="P8">
        <v>176.3937835693359</v>
      </c>
      <c r="Q8">
        <v>177.8957977294922</v>
      </c>
      <c r="R8">
        <v>186.8184509277344</v>
      </c>
      <c r="S8">
        <v>188.8178405761719</v>
      </c>
      <c r="T8">
        <v>187.3655395507812</v>
      </c>
      <c r="U8">
        <v>197.2431182861328</v>
      </c>
      <c r="V8">
        <v>200.3864288330078</v>
      </c>
      <c r="W8">
        <v>195.1243743896484</v>
      </c>
      <c r="X8">
        <v>200.2571258544922</v>
      </c>
      <c r="Y8">
        <v>205.7678680419922</v>
      </c>
      <c r="Z8">
        <v>207.6976318359375</v>
      </c>
      <c r="AA8">
        <v>211.1493225097656</v>
      </c>
      <c r="AB8">
        <v>210.2938537597656</v>
      </c>
      <c r="AC8">
        <v>205.8872375488281</v>
      </c>
      <c r="AD8">
        <v>205.6783599853516</v>
      </c>
      <c r="AE8">
        <v>206.7228088378906</v>
      </c>
      <c r="AF8">
        <v>204.7632141113281</v>
      </c>
      <c r="AG8">
        <v>205.7181396484375</v>
      </c>
      <c r="AH8">
        <v>209.4881286621094</v>
      </c>
      <c r="AI8">
        <v>210.5624237060547</v>
      </c>
      <c r="AJ8">
        <v>205.1014099121094</v>
      </c>
      <c r="AK8">
        <v>204.8029937744141</v>
      </c>
      <c r="AL8">
        <v>201.4806365966797</v>
      </c>
      <c r="AM8">
        <v>204.4349517822266</v>
      </c>
      <c r="AN8">
        <v>202.8334503173828</v>
      </c>
      <c r="AO8">
        <v>214.3821563720703</v>
      </c>
      <c r="AP8">
        <v>223.1754760742188</v>
      </c>
      <c r="AQ8">
        <v>224.3890380859375</v>
      </c>
      <c r="AR8">
        <v>231.3819274902344</v>
      </c>
      <c r="AS8">
        <v>232.3766479492188</v>
      </c>
      <c r="AT8">
        <v>239.2800140380859</v>
      </c>
      <c r="AU8">
        <v>243.4900054931641</v>
      </c>
      <c r="AV8">
        <v>242.2899932861328</v>
      </c>
      <c r="AW8">
        <v>240</v>
      </c>
      <c r="AX8">
        <v>242.8699951171875</v>
      </c>
      <c r="AY8">
        <v>241.9600067138672</v>
      </c>
      <c r="AZ8">
        <v>236.8999938964844</v>
      </c>
      <c r="BA8">
        <v>242.2299957275391</v>
      </c>
      <c r="BB8">
        <v>239.8099975585938</v>
      </c>
      <c r="BC8">
        <v>244.0099945068359</v>
      </c>
      <c r="BD8">
        <v>246.5800018310547</v>
      </c>
      <c r="BE8">
        <v>252.0200042724609</v>
      </c>
      <c r="BF8">
        <v>256.0899963378906</v>
      </c>
      <c r="BG8">
        <v>254.6600036621094</v>
      </c>
      <c r="BH8">
        <v>255.0899963378906</v>
      </c>
      <c r="BI8">
        <v>259.1400146484375</v>
      </c>
    </row>
    <row r="9" spans="1:61">
      <c r="A9" t="s">
        <v>8</v>
      </c>
      <c r="B9">
        <v>36.76126480102539</v>
      </c>
      <c r="C9">
        <v>34.5269889831543</v>
      </c>
      <c r="D9">
        <v>34.02054977416992</v>
      </c>
      <c r="E9">
        <v>33.6928596496582</v>
      </c>
      <c r="F9">
        <v>32.79914855957031</v>
      </c>
      <c r="G9">
        <v>33.96097183227539</v>
      </c>
      <c r="H9">
        <v>33.9808349609375</v>
      </c>
      <c r="I9">
        <v>33.09705352783203</v>
      </c>
      <c r="J9">
        <v>33.18642044067383</v>
      </c>
      <c r="K9">
        <v>32.77928924560547</v>
      </c>
      <c r="L9">
        <v>32.72963714599609</v>
      </c>
      <c r="M9">
        <v>32.34236526489258</v>
      </c>
      <c r="N9">
        <v>31.64725685119629</v>
      </c>
      <c r="O9">
        <v>32.13383102416992</v>
      </c>
      <c r="P9">
        <v>32.23313140869141</v>
      </c>
      <c r="Q9">
        <v>33.76237106323242</v>
      </c>
      <c r="R9">
        <v>34.81496429443359</v>
      </c>
      <c r="S9">
        <v>33.05733489990234</v>
      </c>
      <c r="T9">
        <v>33.20628356933594</v>
      </c>
      <c r="U9">
        <v>34.42768478393555</v>
      </c>
      <c r="V9">
        <v>34.28866577148438</v>
      </c>
      <c r="W9">
        <v>34.03048324584961</v>
      </c>
      <c r="X9">
        <v>34.04041290283203</v>
      </c>
      <c r="Y9">
        <v>34.97384262084961</v>
      </c>
      <c r="Z9">
        <v>34.59650039672852</v>
      </c>
      <c r="AA9">
        <v>35.52000045776367</v>
      </c>
      <c r="AB9">
        <v>36.18000030517578</v>
      </c>
      <c r="AC9">
        <v>36.41999816894531</v>
      </c>
      <c r="AD9">
        <v>36.15000152587891</v>
      </c>
      <c r="AE9">
        <v>34.7400016784668</v>
      </c>
      <c r="AF9">
        <v>34.93000030517578</v>
      </c>
      <c r="AG9">
        <v>36.70000076293945</v>
      </c>
      <c r="AH9">
        <v>36.33000183105469</v>
      </c>
      <c r="AI9">
        <v>37.31999969482422</v>
      </c>
      <c r="AJ9">
        <v>36.86999893188477</v>
      </c>
      <c r="AK9">
        <v>35.79999923706055</v>
      </c>
      <c r="AL9">
        <v>34.65999984741211</v>
      </c>
      <c r="AM9">
        <v>36.52999877929688</v>
      </c>
      <c r="AN9">
        <v>37.63000106811523</v>
      </c>
      <c r="AO9">
        <v>41.02000045776367</v>
      </c>
      <c r="AP9">
        <v>40.61999893188477</v>
      </c>
      <c r="AQ9">
        <v>39.97000122070312</v>
      </c>
      <c r="AR9">
        <v>40</v>
      </c>
      <c r="AS9">
        <v>40.47000122070312</v>
      </c>
      <c r="AT9">
        <v>41.58000183105469</v>
      </c>
      <c r="AU9">
        <v>42.36999893188477</v>
      </c>
      <c r="AV9">
        <v>43.45000076293945</v>
      </c>
      <c r="AW9">
        <v>44.38999938964844</v>
      </c>
      <c r="AX9">
        <v>43.38999938964844</v>
      </c>
      <c r="AY9">
        <v>42.95999908447266</v>
      </c>
      <c r="AZ9">
        <v>41.34999847412109</v>
      </c>
      <c r="BA9">
        <v>41.18999862670898</v>
      </c>
      <c r="BB9">
        <v>42.38000106811523</v>
      </c>
      <c r="BC9">
        <v>42.54000091552734</v>
      </c>
      <c r="BD9">
        <v>43.15000152587891</v>
      </c>
      <c r="BE9">
        <v>44.29999923706055</v>
      </c>
      <c r="BF9">
        <v>44.70000076293945</v>
      </c>
      <c r="BG9">
        <v>44.18000030517578</v>
      </c>
      <c r="BH9">
        <v>42.77000045776367</v>
      </c>
      <c r="BI9">
        <v>43.54999923706055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2026-09-10T00:17:49Z</dcterms:created>
  <dcterms:modified xsi:type="dcterms:W3CDTF">2026-09-10T00:17:49Z</dcterms:modified>
</cp:coreProperties>
</file>