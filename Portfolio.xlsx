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Сделки!$A$4:$O$7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<sst xmlns="http://schemas.openxmlformats.org/spreadsheetml/2006/main" count="527" uniqueCount="282">
  <si>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</si>
  <si>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</si>
  <si>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</si>
  <si>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</si>
  <si>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</si>
  <si>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</si>
  <si>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</si>
  <si>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</si>
  <si>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</si>
  <si>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</si>
  <si>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</si>
  <si>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</si>
  <si>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</si>
  <si>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</si>
  <si>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</si>
  <si>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</si>
  <si>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</si>
  <si>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</si>
  <si>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</si>
  <si>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HPE</t>
  </si>
  <si>
    <t>MU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</si>
  <si>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</si>
  <si>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</si>
  <si>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</si>
  <si>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</si>
  <si>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</si>
  <si>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</si>
  <si>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</si>
  <si>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</si>
  <si>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</si>
  <si>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</si>
  <si>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</si>
  <si>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</si>
  <si>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</si>
  <si>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</si>
  <si>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</si>
  <si>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</si>
  <si>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</si>
  <si>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</si>
  <si>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</si>
  <si>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</si>
  <si>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</si>
  <si>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</si>
  <si>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</si>
  <si>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</si>
  <si>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</si>
  <si>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</si>
  <si>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</si>
  <si>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</si>
  <si>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</si>
  <si>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</si>
  <si>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</si>
  <si>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</si>
  <si>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</si>
  <si>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</si>
  <si>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</si>
  <si>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</si>
  <si>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</si>
  <si>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</si>
  <si>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</si>
  <si>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</si>
  <si>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</si>
  <si>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</si>
  <si>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</si>
  <si>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</si>
  <si>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</si>
  <si>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</si>
  <si>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</si>
  <si>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</si>
  <si>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</si>
  <si>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</si>
  <si>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</si>
  <si>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</si>
  <si>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</si>
  <si>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</si>
  <si>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</si>
  <si>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</si>
  <si>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</si>
  <si>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Hewlett Packard Enterprise</t>
  </si>
  <si>
    <t>2026-10-12</t>
  </si>
  <si>
    <t>Micron Technology</t>
  </si>
  <si>
    <t>2026-10-28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</si>
  <si>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</si>
  <si>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</si>
  <si>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</si>
  <si>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</si>
  <si>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</si>
  <si>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</si>
  <si>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</si>
  <si>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</si>
  <si>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</si>
  <si>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COF</t>
  </si>
  <si>
    <t>2026-10-09</t>
  </si>
  <si>
    <t>2026-10-26</t>
  </si>
  <si>
    <t>signal weakened for 3 consecutive reviews: fundamentals incomplete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</si>
  <si>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</si>
  <si>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</si>
  <si>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</si>
  <si>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</si>
  <si>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</si>
  <si>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</si>
  <si>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</si>
  <si>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</si>
  <si>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</si>
  <si>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</si>
  <si>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</si>
  <si>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</si>
  <si>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</si>
  <si>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</si>
  <si>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</si>
  <si>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</si>
  <si>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</si>
  <si>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</si>
  <si>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</si>
  <si>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</si>
  <si>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</si>
  <si>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</si>
  <si>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</si>
  <si>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</si>
  <si>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</si>
  <si>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</si>
  <si>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</si>
  <si>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2026-10-19</t>
  </si>
  <si>
    <t>2026-10-21</t>
  </si>
  <si>
    <t>2026-10-22</t>
  </si>
  <si>
    <t>2026-10-23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</si>
  <si>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</si>
  <si>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</si>
  <si>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</si>
  <si>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</si>
  <si>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</si>
  <si>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</si>
  <si>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</si>
  <si>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</si>
  <si>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</si>
  <si>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</si>
  <si>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</si>
  <si>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</si>
  <si>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</si>
  <si>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</si>
  <si>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</si>
  <si>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</si>
  <si>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</si>
  <si>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</si>
  <si>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</si>
  <si>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HAS</t>
  </si>
  <si>
    <t>Hasbro</t>
  </si>
  <si>
    <t>CRM</t>
  </si>
  <si>
    <t>Salesforce</t>
  </si>
  <si>
    <t>NTAP</t>
  </si>
  <si>
    <t>NetApp</t>
  </si>
  <si>
    <t>ZBRA</t>
  </si>
  <si>
    <t>Zebra Technologies</t>
  </si>
  <si>
    <t>Dell Technologies</t>
  </si>
  <si>
    <t>IT</t>
  </si>
  <si>
    <t>Gartner</t>
  </si>
  <si>
    <t>LLY</t>
  </si>
  <si>
    <t>Lilly (Eli)</t>
  </si>
  <si>
    <t>SMCI</t>
  </si>
  <si>
    <t>Supermicro</t>
  </si>
  <si>
    <t>CVX</t>
  </si>
  <si>
    <t>Chevron Corporation</t>
  </si>
  <si>
    <t>WAT</t>
  </si>
  <si>
    <t>Waters Corporation</t>
  </si>
  <si>
    <t>RVTY</t>
  </si>
  <si>
    <t>Revvity</t>
  </si>
  <si>
    <t>EOG</t>
  </si>
  <si>
    <t>EOG Resources</t>
  </si>
  <si>
    <t>COP</t>
  </si>
  <si>
    <t>ConocoPhillips</t>
  </si>
  <si>
    <t>REGN</t>
  </si>
  <si>
    <t>Regeneron Pharmaceuticals</t>
  </si>
  <si>
    <t>AMGN</t>
  </si>
  <si>
    <t>Amgen</t>
  </si>
  <si>
    <t>WSM</t>
  </si>
  <si>
    <t>Williams-Sonoma, Inc.</t>
  </si>
  <si>
    <t>CINF</t>
  </si>
  <si>
    <t>Cincinnati Financial</t>
  </si>
  <si>
    <t>BMY</t>
  </si>
  <si>
    <t>Bristol Myers Squibb</t>
  </si>
  <si>
    <t>WBD</t>
  </si>
  <si>
    <t>nan</t>
  </si>
  <si>
    <t>Unknown</t>
  </si>
  <si>
    <t>NWSA</t>
  </si>
  <si>
    <t>News Corp (Class A)</t>
  </si>
  <si>
    <t>MAS</t>
  </si>
  <si>
    <t>Masco</t>
  </si>
  <si>
    <t>Industrials</t>
  </si>
  <si>
    <t>SJM</t>
  </si>
  <si>
    <t>J.M. Smucker Company (The)</t>
  </si>
  <si>
    <t>ELV</t>
  </si>
  <si>
    <t>Elevance Health</t>
  </si>
  <si>
    <t>VEEV</t>
  </si>
  <si>
    <t>Veeva Systems</t>
  </si>
  <si>
    <t>DVN</t>
  </si>
  <si>
    <t>Devon Energy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</si>
  <si>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</si>
  <si>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</si>
  <si>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</si>
  <si>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</si>
  <si>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</si>
  <si>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</si>
  <si>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</si>
  <si>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</si>
  <si>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</si>
  <si>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</si>
  <si>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</si>
  <si>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</si>
  <si>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</si>
  <si>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</si>
  <si>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</si>
  <si>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</si>
  <si>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</si>
  <si>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</si>
  <si>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</si>
  <si>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</si>
  <si>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</si>
  <si>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</si>
  <si>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</si>
  <si>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</si>
  <si>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</si>
  <si>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</si>
  <si>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2026-10-29 01:50 UTC · данные на 2026-10-28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</si>
  <si>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</si>
  <si>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</si>
  <si>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</si>
  <si>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</si>
  <si>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</si>
  <si>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</si>
  <si>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</si>
  <si>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</si>
  <si>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</si>
  <si>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</si>
  <si>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</si>
  <si>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</si>
  <si>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</si>
  <si>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</si>
  <si>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</si>
  <si>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</si>
  <si>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</si>
  <si>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</si>
  <si>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</si>
  <si>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</si>
  <si>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</si>
  <si>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</si>
  <si>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</si>
  <si>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</si>
  <si>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</si>
  <si>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</si>
  <si>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</si>
  <si>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2026-10-29 01:50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</si>
  <si>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</si>
  <si>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</si>
  <si>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</si>
  <si>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</si>
  <si>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</si>
  <si>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</si>
  <si>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</si>
  <si>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</si>
  <si>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</si>
  <si>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</si>
  <si>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</si>
  <si>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</si>
  <si>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</si>
  <si>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</si>
  <si>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2026-10-25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</si>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</sst>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Information Technology</c:v>
                </c:pt>
                <c:pt idx="1">
                  <c:v>Energy</c:v>
                </c:pt>
                <c:pt idx="2">
                  <c:v>Health Care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2354.73</c:v>
                </c:pt>
                <c:pt idx="1">
                  <c:v>2247.41</c:v>
                </c:pt>
                <c:pt idx="2">
                  <c:v>1932.57</c:v>
                </c:pt>
                <c:pt idx="3">
                  <c:v>1029.49</c:v>
                </c:pt>
                <c:pt idx="4">
                  <c:v>1010.11</c:v>
                </c:pt>
                <c:pt idx="5">
                  <c:v>838.38</c:v>
                </c:pt>
                <c:pt idx="6">
                  <c:v>492.11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Капитал!$A$5:$A$39</c:f>
              <c:strCache>
                <c:ptCount val="3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</c:strCache>
            </c:strRef>
          </c:cat>
          <c:val>
            <c:numRef>
              <c:f>Капитал!$D$5:$D$39</c:f>
              <c:numCache>
                <c:formatCode>General</c:formatCode>
                <c:ptCount val="35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  <c:pt idx="33">
                  <c:v>10371.38</c:v>
                </c:pt>
                <c:pt idx="34">
                  <c:v>10420.72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Капитал!$A$5:$A$39</c:f>
              <c:strCache>
                <c:ptCount val="3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</c:strCache>
            </c:strRef>
          </c:cat>
          <c:val>
            <c:numRef>
              <c:f>Капитал!$F$5:$F$39</c:f>
              <c:numCache>
                <c:formatCode>General</c:formatCode>
                <c:ptCount val="35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  <c:pt idx="33">
                  <c:v>10049.78</c:v>
                </c:pt>
                <c:pt idx="34">
                  <c:v>10140.91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Капитал!$A$5:$A$39</c:f>
              <c:strCache>
                <c:ptCount val="3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</c:strCache>
            </c:strRef>
          </c:cat>
          <c:val>
            <c:numRef>
              <c:f>Капитал!$D$5:$D$39</c:f>
              <c:numCache>
                <c:formatCode>General</c:formatCode>
                <c:ptCount val="35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  <c:pt idx="33">
                  <c:v>10371.38</c:v>
                </c:pt>
                <c:pt idx="34">
                  <c:v>10420.72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Капитал!$A$5:$A$39</c:f>
              <c:strCache>
                <c:ptCount val="3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</c:strCache>
            </c:strRef>
          </c:cat>
          <c:val>
            <c:numRef>
              <c:f>Капитал!$F$5:$F$39</c:f>
              <c:numCache>
                <c:formatCode>General</c:formatCode>
                <c:ptCount val="35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  <c:pt idx="33">
                  <c:v>10049.78</c:v>
                </c:pt>
                <c:pt idx="34">
                  <c:v>10140.91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221</v>
      </c>
    </row>
    <row r="3" spans="2:8">
      <c r="B3" s="2" t="s">
        <v>222</v>
      </c>
    </row>
    <row r="5" spans="2:8">
      <c r="B5" s="3" t="s">
        <v>105</v>
      </c>
      <c r="D5" s="3" t="s">
        <v>223</v>
      </c>
      <c r="F5" s="3" t="s">
        <v>224</v>
      </c>
      <c r="H5" s="3" t="s">
        <v>225</v>
      </c>
    </row>
    <row r="6" spans="2:8">
      <c r="B6" s="4">
        <v>10420.72445886627</v>
      </c>
      <c r="D6" s="5">
        <v>0.04207244588662684</v>
      </c>
      <c r="F6" s="5">
        <v>0.01409100000000008</v>
      </c>
      <c r="H6" s="6">
        <v>-0.01664051252588017</v>
      </c>
    </row>
    <row r="8" spans="2:8">
      <c r="B8" s="3" t="s">
        <v>226</v>
      </c>
      <c r="D8" s="3" t="s">
        <v>227</v>
      </c>
      <c r="F8" s="3" t="s">
        <v>228</v>
      </c>
      <c r="H8" s="3" t="s">
        <v>229</v>
      </c>
    </row>
    <row r="9" spans="2:8">
      <c r="B9" s="7">
        <v>3.247501408201463</v>
      </c>
      <c r="D9" s="7">
        <v>3</v>
      </c>
      <c r="F9" s="8">
        <v>1</v>
      </c>
      <c r="H9" s="7">
        <v>21</v>
      </c>
    </row>
    <row r="12" spans="2:8">
      <c r="B12" s="9" t="s">
        <v>230</v>
      </c>
    </row>
    <row r="13" spans="2:8">
      <c r="B13" s="10" t="s">
        <v>103</v>
      </c>
      <c r="C13" s="11">
        <v>515.9244588662704</v>
      </c>
    </row>
    <row r="14" spans="2:8">
      <c r="B14" s="10" t="s">
        <v>104</v>
      </c>
      <c r="C14" s="11">
        <v>9904.799999999999</v>
      </c>
    </row>
    <row r="15" spans="2:8">
      <c r="B15" s="10" t="s">
        <v>105</v>
      </c>
      <c r="C15" s="11">
        <v>10420.72445886627</v>
      </c>
    </row>
    <row r="16" spans="2:8">
      <c r="B16" s="10" t="s">
        <v>231</v>
      </c>
      <c r="C16" s="11">
        <v>10000</v>
      </c>
    </row>
    <row r="17" spans="1:3">
      <c r="B17" s="10" t="s">
        <v>232</v>
      </c>
      <c r="C17" s="12">
        <v>21</v>
      </c>
    </row>
    <row r="18" spans="1:3">
      <c r="B18" s="10" t="s">
        <v>233</v>
      </c>
      <c r="C18" s="12">
        <v>0</v>
      </c>
    </row>
    <row r="19" spans="1:3">
      <c r="B19" s="10" t="s">
        <v>234</v>
      </c>
      <c r="C19" s="12">
        <v>1</v>
      </c>
    </row>
    <row r="20" spans="1:3">
      <c r="B20" s="10" t="s">
        <v>235</v>
      </c>
      <c r="C20" s="10" t="s">
        <v>236</v>
      </c>
    </row>
    <row r="21" spans="1:3">
      <c r="B21" s="10" t="s">
        <v>237</v>
      </c>
      <c r="C21" s="13">
        <v>17.66666666666667</v>
      </c>
    </row>
    <row r="22" spans="1:3">
      <c r="B22" s="10" t="s">
        <v>238</v>
      </c>
      <c r="C22" s="14">
        <v>0.1469436666666667</v>
      </c>
    </row>
    <row r="23" spans="1:3">
      <c r="B23" s="10" t="s">
        <v>239</v>
      </c>
      <c r="C23" s="14">
        <v>0</v>
      </c>
    </row>
    <row r="24" spans="1:3">
      <c r="B24" s="10" t="s">
        <v>240</v>
      </c>
      <c r="C24" s="10" t="s">
        <v>241</v>
      </c>
    </row>
    <row r="25" spans="1:3">
      <c r="B25" s="10" t="s">
        <v>242</v>
      </c>
      <c r="C25" s="15">
        <v>0.09551065433847788</v>
      </c>
    </row>
    <row r="26" spans="1:3">
      <c r="B26" s="10" t="s">
        <v>243</v>
      </c>
      <c r="C26" s="12">
        <v>35</v>
      </c>
    </row>
    <row r="28" spans="1:3">
      <c r="B28" s="16" t="s">
        <v>244</v>
      </c>
      <c r="C28" s="11">
        <f>C13+IFERROR(SUM('Позиции'!I5:I200),0)</f>
        <v>10420.724458866269</v>
      </c>
    </row>
    <row r="29" spans="1:3">
      <c r="B29" s="17" t="s">
        <v>245</v>
      </c>
    </row>
    <row r="31" spans="1:3">
      <c r="B31" s="9" t="s">
        <v>246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41</v>
      </c>
      <c r="C33" s="11">
        <v>2354.73</v>
      </c>
    </row>
    <row r="34" spans="2:3">
      <c r="B34" s="10" t="s">
        <v>48</v>
      </c>
      <c r="C34" s="11">
        <v>2247.41</v>
      </c>
    </row>
    <row r="35" spans="2:3">
      <c r="B35" s="10" t="s">
        <v>63</v>
      </c>
      <c r="C35" s="11">
        <v>1932.57</v>
      </c>
    </row>
    <row r="36" spans="2:3">
      <c r="B36" s="10" t="s">
        <v>59</v>
      </c>
      <c r="C36" s="11">
        <v>1029.49</v>
      </c>
    </row>
    <row r="37" spans="2:3">
      <c r="B37" s="10" t="s">
        <v>68</v>
      </c>
      <c r="C37" s="11">
        <v>1010.11</v>
      </c>
    </row>
    <row r="38" spans="2:3">
      <c r="B38" s="10" t="s">
        <v>61</v>
      </c>
      <c r="C38" s="11">
        <v>838.38</v>
      </c>
    </row>
    <row r="39" spans="2:3">
      <c r="B39" s="10" t="s">
        <v>71</v>
      </c>
      <c r="C39" s="11">
        <v>492.11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0.360594</v>
      </c>
      <c r="G5" s="11">
        <v>543.35</v>
      </c>
      <c r="H5" s="21">
        <v>1404.77</v>
      </c>
      <c r="I5" s="11">
        <f>F5*H5</f>
        <v>506.55163338000006</v>
      </c>
      <c r="J5" s="11">
        <f>I5-G5</f>
        <v>-36.79836661999997</v>
      </c>
      <c r="K5" s="14">
        <f>IFERROR(J5/G5,0)</f>
        <v>-0.06772497767553136</v>
      </c>
      <c r="L5" s="12">
        <v>31</v>
      </c>
      <c r="M5" s="10" t="s">
        <v>43</v>
      </c>
      <c r="N5" s="13">
        <v>1.655247920227722</v>
      </c>
      <c r="O5" s="10" t="s">
        <v>44</v>
      </c>
      <c r="Q5" s="13">
        <v>1.693970595656319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0.917347</v>
      </c>
      <c r="G6" s="11">
        <v>424.3</v>
      </c>
      <c r="H6" s="21">
        <v>396.42</v>
      </c>
      <c r="I6" s="11">
        <f>F6*H6</f>
        <v>363.65469774</v>
      </c>
      <c r="J6" s="11">
        <f>I6-G6</f>
        <v>-60.645302259999994</v>
      </c>
      <c r="K6" s="14">
        <f>IFERROR(J6/G6,0)</f>
        <v>-0.14293024336554322</v>
      </c>
      <c r="L6" s="12">
        <v>30</v>
      </c>
      <c r="M6" s="10" t="s">
        <v>43</v>
      </c>
      <c r="N6" s="13">
        <v>1.135451734784544</v>
      </c>
      <c r="O6" s="10" t="s">
        <v>44</v>
      </c>
      <c r="Q6" s="13">
        <v>1.210417679590477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1.05687</v>
      </c>
      <c r="G7" s="11">
        <v>380.62</v>
      </c>
      <c r="H7" s="21">
        <v>388.48</v>
      </c>
      <c r="I7" s="11">
        <f>F7*H7</f>
        <v>410.5728576</v>
      </c>
      <c r="J7" s="11">
        <f>I7-G7</f>
        <v>29.952857600000016</v>
      </c>
      <c r="K7" s="14">
        <f>IFERROR(J7/G7,0)</f>
        <v>0.07869491251116603</v>
      </c>
      <c r="L7" s="12">
        <v>29</v>
      </c>
      <c r="M7" s="10" t="s">
        <v>43</v>
      </c>
      <c r="N7" s="13">
        <v>1.098454348098604</v>
      </c>
      <c r="O7" s="10" t="s">
        <v>44</v>
      </c>
      <c r="Q7" s="13">
        <v>1.795706621511372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0.986059</v>
      </c>
      <c r="G8" s="11">
        <v>375.66</v>
      </c>
      <c r="H8" s="21">
        <v>440.77</v>
      </c>
      <c r="I8" s="11">
        <f>F8*H8</f>
        <v>434.62522543</v>
      </c>
      <c r="J8" s="11">
        <f>I8-G8</f>
        <v>58.965225429999975</v>
      </c>
      <c r="K8" s="14">
        <f>IFERROR(J8/G8,0)</f>
        <v>0.15696434390140013</v>
      </c>
      <c r="L8" s="12">
        <v>28</v>
      </c>
      <c r="M8" s="10" t="s">
        <v>43</v>
      </c>
      <c r="N8" s="13">
        <v>0.9280120270881818</v>
      </c>
      <c r="O8" s="10" t="s">
        <v>44</v>
      </c>
      <c r="Q8" s="13">
        <v>1.8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62.86</v>
      </c>
      <c r="I9" s="11">
        <f>F9*H9</f>
        <v>496.28523168000004</v>
      </c>
      <c r="J9" s="11">
        <f>I9-G9</f>
        <v>21.39523168000005</v>
      </c>
      <c r="K9" s="14">
        <f>IFERROR(J9/G9,0)</f>
        <v>0.045053026342942684</v>
      </c>
      <c r="L9" s="12">
        <v>25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1.594843</v>
      </c>
      <c r="G10" s="11">
        <v>401.75</v>
      </c>
      <c r="H10" s="21">
        <v>273.76</v>
      </c>
      <c r="I10" s="11">
        <f>F10*H10</f>
        <v>436.60421967999997</v>
      </c>
      <c r="J10" s="11">
        <f>I10-G10</f>
        <v>34.85421967999997</v>
      </c>
      <c r="K10" s="14">
        <f>IFERROR(J10/G10,0)</f>
        <v>0.08675599173615425</v>
      </c>
      <c r="L10" s="12">
        <v>25</v>
      </c>
      <c r="M10" s="10" t="s">
        <v>43</v>
      </c>
      <c r="N10" s="13">
        <v>0.8298272742812407</v>
      </c>
      <c r="O10" s="10" t="s">
        <v>44</v>
      </c>
      <c r="Q10" s="13">
        <v>1.791418375576297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9.182546</v>
      </c>
      <c r="G11" s="11">
        <v>401.29</v>
      </c>
      <c r="H11" s="21">
        <v>51.11</v>
      </c>
      <c r="I11" s="11">
        <f>F11*H11</f>
        <v>469.31992606</v>
      </c>
      <c r="J11" s="11">
        <f>I11-G11</f>
        <v>68.02992605999998</v>
      </c>
      <c r="K11" s="14">
        <f>IFERROR(J11/G11,0)</f>
        <v>0.16952808706920178</v>
      </c>
      <c r="L11" s="12">
        <v>25</v>
      </c>
      <c r="M11" s="10" t="s">
        <v>43</v>
      </c>
      <c r="N11" s="13">
        <v>0.7019116395441239</v>
      </c>
      <c r="O11" s="10" t="s">
        <v>44</v>
      </c>
      <c r="Q11" s="13">
        <v>1.761544884978834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215.38</v>
      </c>
      <c r="I12" s="11">
        <f>F12*H12</f>
        <v>495.76642236</v>
      </c>
      <c r="J12" s="11">
        <f>I12-G12</f>
        <v>9.28642235999996</v>
      </c>
      <c r="K12" s="14">
        <f>IFERROR(J12/G12,0)</f>
        <v>0.01908901159348783</v>
      </c>
      <c r="L12" s="12">
        <v>21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394.01</v>
      </c>
      <c r="I13" s="11">
        <f>F13*H13</f>
        <v>500.2146074799999</v>
      </c>
      <c r="J13" s="11">
        <f>I13-G13</f>
        <v>13.734607479999909</v>
      </c>
      <c r="K13" s="14">
        <f>IFERROR(J13/G13,0)</f>
        <v>0.02823262514389062</v>
      </c>
      <c r="L13" s="12">
        <v>21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1.17142</v>
      </c>
      <c r="G14" s="11">
        <v>397.44</v>
      </c>
      <c r="H14" s="21">
        <v>321.89</v>
      </c>
      <c r="I14" s="11">
        <f>F14*H14</f>
        <v>377.06838379999994</v>
      </c>
      <c r="J14" s="11">
        <f>I14-G14</f>
        <v>-20.371616200000062</v>
      </c>
      <c r="K14" s="14">
        <f>IFERROR(J14/G14,0)</f>
        <v>-0.05125708584943655</v>
      </c>
      <c r="L14" s="12">
        <v>21</v>
      </c>
      <c r="M14" s="10" t="s">
        <v>43</v>
      </c>
      <c r="N14" s="13">
        <v>0.776423257523575</v>
      </c>
      <c r="O14" s="10" t="s">
        <v>44</v>
      </c>
      <c r="Q14" s="13">
        <v>1.531890972543851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67.05</v>
      </c>
      <c r="I15" s="11">
        <f>F15*H15</f>
        <v>484.35867314999996</v>
      </c>
      <c r="J15" s="11">
        <f>I15-G15</f>
        <v>-2.1213268500000595</v>
      </c>
      <c r="K15" s="14">
        <f>IFERROR(J15/G15,0)</f>
        <v>-0.004360563332511222</v>
      </c>
      <c r="L15" s="12">
        <v>21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324.89</v>
      </c>
      <c r="I16" s="11">
        <f>F16*H16</f>
        <v>461.3096865499999</v>
      </c>
      <c r="J16" s="11">
        <f>I16-G16</f>
        <v>-22.690313450000076</v>
      </c>
      <c r="K16" s="14">
        <f>IFERROR(J16/G16,0)</f>
        <v>-0.046880812913223296</v>
      </c>
      <c r="L16" s="12">
        <v>17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250.2</v>
      </c>
      <c r="I17" s="11">
        <f>F17*H17</f>
        <v>529.2823374</v>
      </c>
      <c r="J17" s="11">
        <f>I17-G17</f>
        <v>45.28233739999996</v>
      </c>
      <c r="K17" s="14">
        <f>IFERROR(J17/G17,0)</f>
        <v>0.09355854834710736</v>
      </c>
      <c r="L17" s="12">
        <v>17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148.96</v>
      </c>
      <c r="I18" s="11">
        <f>F18*H18</f>
        <v>460.15710272000007</v>
      </c>
      <c r="J18" s="11">
        <f>I18-G18</f>
        <v>-23.84289727999993</v>
      </c>
      <c r="K18" s="14">
        <f>IFERROR(J18/G18,0)</f>
        <v>-0.04926218446280978</v>
      </c>
      <c r="L18" s="12">
        <v>17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116.87</v>
      </c>
      <c r="I19" s="11">
        <f>F19*H19</f>
        <v>458.67933839000005</v>
      </c>
      <c r="J19" s="11">
        <f>I19-G19</f>
        <v>-25.320661609999945</v>
      </c>
      <c r="K19" s="14">
        <f>IFERROR(J19/G19,0)</f>
        <v>-0.052315416549586664</v>
      </c>
      <c r="L19" s="12">
        <v>17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254.6</v>
      </c>
      <c r="I20" s="11">
        <f>F20*H20</f>
        <v>492.106156</v>
      </c>
      <c r="J20" s="11">
        <f>I20-G20</f>
        <v>5.536156000000005</v>
      </c>
      <c r="K20" s="14">
        <f>IFERROR(J20/G20,0)</f>
        <v>0.011377923012105155</v>
      </c>
      <c r="L20" s="12">
        <v>15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288.79</v>
      </c>
      <c r="I21" s="11">
        <f>F21*H21</f>
        <v>514.0412905700001</v>
      </c>
      <c r="J21" s="11">
        <f>I21-G21</f>
        <v>27.47129057000012</v>
      </c>
      <c r="K21" s="14">
        <f>IFERROR(J21/G21,0)</f>
        <v>0.056459071808784185</v>
      </c>
      <c r="L21" s="12">
        <v>15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127.18</v>
      </c>
      <c r="I22" s="11">
        <f>F22*H22</f>
        <v>549.95124728</v>
      </c>
      <c r="J22" s="11">
        <f>I22-G22</f>
        <v>59.99124727999998</v>
      </c>
      <c r="K22" s="14">
        <f>IFERROR(J22/G22,0)</f>
        <v>0.12244111209078289</v>
      </c>
      <c r="L22" s="12">
        <v>14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1.948335</v>
      </c>
      <c r="G23" s="11">
        <v>441.07</v>
      </c>
      <c r="H23" s="21">
        <v>244.05</v>
      </c>
      <c r="I23" s="11">
        <f>F23*H23</f>
        <v>475.49115675</v>
      </c>
      <c r="J23" s="11">
        <f>I23-G23</f>
        <v>34.42115675000002</v>
      </c>
      <c r="K23" s="14">
        <f>IFERROR(J23/G23,0)</f>
        <v>0.07804012231618569</v>
      </c>
      <c r="L23" s="12">
        <v>13</v>
      </c>
      <c r="M23" s="10" t="s">
        <v>43</v>
      </c>
      <c r="N23" s="13">
        <v>0.5555859964967851</v>
      </c>
      <c r="O23" s="10" t="s">
        <v>44</v>
      </c>
      <c r="Q23" s="13">
        <v>1.744588193878712</v>
      </c>
    </row>
    <row r="24" spans="1:17">
      <c r="A24" s="10" t="s">
        <v>19</v>
      </c>
      <c r="B24" s="10" t="s">
        <v>78</v>
      </c>
      <c r="C24" s="10" t="s">
        <v>41</v>
      </c>
      <c r="D24" s="19" t="s">
        <v>79</v>
      </c>
      <c r="E24" s="11">
        <v>72.88639999999999</v>
      </c>
      <c r="F24" s="20">
        <v>8.396539000000001</v>
      </c>
      <c r="G24" s="11">
        <v>583.79</v>
      </c>
      <c r="H24" s="21">
        <v>60.33</v>
      </c>
      <c r="I24" s="11">
        <f>F24*H24</f>
        <v>506.56319787</v>
      </c>
      <c r="J24" s="11">
        <f>I24-G24</f>
        <v>-77.22680212999995</v>
      </c>
      <c r="K24" s="14">
        <f>IFERROR(J24/G24,0)</f>
        <v>-0.13228524320389173</v>
      </c>
      <c r="L24" s="12">
        <v>9</v>
      </c>
      <c r="M24" s="10" t="s">
        <v>43</v>
      </c>
      <c r="N24" s="13">
        <v>1.053611276486443</v>
      </c>
      <c r="O24" s="10" t="s">
        <v>44</v>
      </c>
      <c r="Q24" s="13">
        <v>1.719118736688343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962.1909000000001</v>
      </c>
      <c r="F25" s="20">
        <v>0.490422</v>
      </c>
      <c r="G25" s="11">
        <v>471.88</v>
      </c>
      <c r="H25" s="21">
        <v>983.23</v>
      </c>
      <c r="I25" s="11">
        <f>F25*H25</f>
        <v>482.19762306</v>
      </c>
      <c r="J25" s="11">
        <f>I25-G25</f>
        <v>10.317623060000017</v>
      </c>
      <c r="K25" s="14">
        <f>IFERROR(J25/G25,0)</f>
        <v>0.021864929770280615</v>
      </c>
      <c r="L25" s="12">
        <v>0</v>
      </c>
      <c r="M25" s="10" t="s">
        <v>43</v>
      </c>
      <c r="N25" s="13">
        <v>0.9447836942325337</v>
      </c>
      <c r="O25" s="10" t="s">
        <v>44</v>
      </c>
      <c r="Q25" s="13">
        <v>1.795706621511372</v>
      </c>
    </row>
    <row r="26" spans="1:17">
      <c r="F26" s="16" t="s">
        <v>82</v>
      </c>
      <c r="G26" s="11">
        <f>SUM(G5:G25)</f>
        <v>9754.579999999996</v>
      </c>
      <c r="I26" s="11">
        <f>SUM(I5:I25)</f>
        <v>9904.8</v>
      </c>
      <c r="J26" s="11">
        <f>SUM(J5:J25)</f>
        <v>150.21999999999997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22</v>
      </c>
      <c r="B5" s="23" t="s">
        <v>91</v>
      </c>
      <c r="C5" s="23" t="s">
        <v>59</v>
      </c>
      <c r="D5" s="22" t="s">
        <v>92</v>
      </c>
      <c r="E5" s="11">
        <v>198.7093</v>
      </c>
      <c r="F5" s="22" t="s">
        <v>93</v>
      </c>
      <c r="G5" s="11">
        <v>202.7286</v>
      </c>
      <c r="H5" s="20">
        <v>2.49475</v>
      </c>
      <c r="I5" s="11">
        <v>495.73</v>
      </c>
      <c r="J5" s="11">
        <v>505.76</v>
      </c>
      <c r="K5" s="11">
        <f>J5-I5</f>
        <v>10.029999999999973</v>
      </c>
      <c r="L5" s="14">
        <f>IFERROR(K5/I5,0)</f>
        <v>0.020227</v>
      </c>
      <c r="M5" s="12">
        <v>9</v>
      </c>
      <c r="N5" s="13">
        <v>0.4462074139990458</v>
      </c>
      <c r="O5" s="23" t="s">
        <v>94</v>
      </c>
    </row>
    <row r="6" spans="1:15">
      <c r="A6" s="24">
        <v>2</v>
      </c>
      <c r="B6" s="25" t="s">
        <v>20</v>
      </c>
      <c r="C6" s="25" t="s">
        <v>41</v>
      </c>
      <c r="D6" s="24" t="s">
        <v>95</v>
      </c>
      <c r="E6" s="11">
        <v>926.2029</v>
      </c>
      <c r="F6" s="24" t="s">
        <v>92</v>
      </c>
      <c r="G6" s="11">
        <v>1053.643</v>
      </c>
      <c r="H6" s="20">
        <v>0.5145960000000001</v>
      </c>
      <c r="I6" s="11">
        <v>476.62</v>
      </c>
      <c r="J6" s="11">
        <v>542.2</v>
      </c>
      <c r="K6" s="11">
        <f>J6-I6</f>
        <v>65.58000000000004</v>
      </c>
      <c r="L6" s="14">
        <f>IFERROR(K6/I6,0)</f>
        <v>0.137595</v>
      </c>
      <c r="M6" s="12">
        <v>22</v>
      </c>
      <c r="N6" s="13">
        <v>1.809956883354321</v>
      </c>
      <c r="O6" s="25" t="s">
        <v>96</v>
      </c>
    </row>
    <row r="7" spans="1:15">
      <c r="A7" s="22">
        <v>1</v>
      </c>
      <c r="B7" s="23" t="s">
        <v>97</v>
      </c>
      <c r="C7" s="23" t="s">
        <v>41</v>
      </c>
      <c r="D7" s="22" t="s">
        <v>98</v>
      </c>
      <c r="E7" s="11">
        <v>443.1115</v>
      </c>
      <c r="F7" s="22" t="s">
        <v>99</v>
      </c>
      <c r="G7" s="11">
        <v>568.5155999999999</v>
      </c>
      <c r="H7" s="20">
        <v>1.074651</v>
      </c>
      <c r="I7" s="11">
        <v>476.19</v>
      </c>
      <c r="J7" s="11">
        <v>610.96</v>
      </c>
      <c r="K7" s="11">
        <f>J7-I7</f>
        <v>134.77000000000004</v>
      </c>
      <c r="L7" s="14">
        <f>IFERROR(K7/I7,0)</f>
        <v>0.283009</v>
      </c>
      <c r="M7" s="12">
        <v>22</v>
      </c>
      <c r="N7" s="13">
        <v>2.927623067210654</v>
      </c>
      <c r="O7" s="23" t="s">
        <v>96</v>
      </c>
    </row>
  </sheetData>
  <autoFilter ref="A4:O7"/>
  <conditionalFormatting sqref="L5:L7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100</v>
      </c>
    </row>
    <row r="2" spans="1:6">
      <c r="A2" s="2" t="s">
        <v>101</v>
      </c>
    </row>
    <row r="4" spans="1:6" ht="30" customHeight="1">
      <c r="A4" s="18" t="s">
        <v>102</v>
      </c>
      <c r="B4" s="18" t="s">
        <v>103</v>
      </c>
      <c r="C4" s="18" t="s">
        <v>104</v>
      </c>
      <c r="D4" s="18" t="s">
        <v>105</v>
      </c>
      <c r="E4" s="18" t="s">
        <v>106</v>
      </c>
      <c r="F4" s="18" t="s">
        <v>107</v>
      </c>
    </row>
    <row r="5" spans="1:6">
      <c r="A5" s="19" t="s">
        <v>108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98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95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109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110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111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112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113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114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115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116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117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118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99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92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79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119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120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121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  <row r="34" spans="1:6">
      <c r="A34" s="19" t="s">
        <v>122</v>
      </c>
      <c r="B34" s="11">
        <v>550.02</v>
      </c>
      <c r="C34" s="11">
        <v>9824.120000000001</v>
      </c>
      <c r="D34" s="11">
        <f>B34+C34</f>
        <v>10374.140000000001</v>
      </c>
      <c r="E34" s="12">
        <v>21</v>
      </c>
      <c r="F34" s="11">
        <v>10064.36</v>
      </c>
    </row>
    <row r="35" spans="1:6">
      <c r="A35" s="19" t="s">
        <v>123</v>
      </c>
      <c r="B35" s="11">
        <v>550.02</v>
      </c>
      <c r="C35" s="11">
        <v>9824.120000000001</v>
      </c>
      <c r="D35" s="11">
        <f>B35+C35</f>
        <v>10374.140000000001</v>
      </c>
      <c r="E35" s="12">
        <v>21</v>
      </c>
      <c r="F35" s="11"/>
    </row>
    <row r="36" spans="1:6">
      <c r="A36" s="19" t="s">
        <v>124</v>
      </c>
      <c r="B36" s="11">
        <v>550.02</v>
      </c>
      <c r="C36" s="11">
        <v>9824.120000000001</v>
      </c>
      <c r="D36" s="11">
        <f>B36+C36</f>
        <v>10374.140000000001</v>
      </c>
      <c r="E36" s="12">
        <v>21</v>
      </c>
      <c r="F36" s="11"/>
    </row>
    <row r="37" spans="1:6">
      <c r="A37" s="19" t="s">
        <v>125</v>
      </c>
      <c r="B37" s="11">
        <v>547.85</v>
      </c>
      <c r="C37" s="11">
        <v>9779.040000000001</v>
      </c>
      <c r="D37" s="11">
        <f>B37+C37</f>
        <v>10326.890000000001</v>
      </c>
      <c r="E37" s="12">
        <v>21</v>
      </c>
      <c r="F37" s="11">
        <v>9978.879999999999</v>
      </c>
    </row>
    <row r="38" spans="1:6">
      <c r="A38" s="19" t="s">
        <v>93</v>
      </c>
      <c r="B38" s="11">
        <v>987.8</v>
      </c>
      <c r="C38" s="11">
        <v>9383.58</v>
      </c>
      <c r="D38" s="11">
        <f>B38+C38</f>
        <v>10371.38</v>
      </c>
      <c r="E38" s="12">
        <v>20</v>
      </c>
      <c r="F38" s="11">
        <v>10049.78</v>
      </c>
    </row>
    <row r="39" spans="1:6">
      <c r="A39" s="19" t="s">
        <v>81</v>
      </c>
      <c r="B39" s="11">
        <v>515.92</v>
      </c>
      <c r="C39" s="11">
        <v>9904.799999999999</v>
      </c>
      <c r="D39" s="11">
        <f>B39+C39</f>
        <v>10420.72</v>
      </c>
      <c r="E39" s="12">
        <v>21</v>
      </c>
      <c r="F39" s="11">
        <v>10140.91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126</v>
      </c>
    </row>
    <row r="2" spans="1:20" x14ac:dyDescent="0.25">
      <c r="A2" s="2" t="s">
        <v>127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128</v>
      </c>
      <c r="F4" s="18" t="s">
        <v>129</v>
      </c>
      <c r="G4" s="18" t="s">
        <v>130</v>
      </c>
      <c r="H4" s="18" t="s">
        <v>131</v>
      </c>
      <c r="I4" s="18" t="s">
        <v>132</v>
      </c>
      <c r="J4" s="18" t="s">
        <v>133</v>
      </c>
      <c r="K4" s="18" t="s">
        <v>134</v>
      </c>
      <c r="L4" s="18" t="s">
        <v>135</v>
      </c>
      <c r="M4" s="18" t="s">
        <v>136</v>
      </c>
      <c r="N4" s="18" t="s">
        <v>137</v>
      </c>
      <c r="O4" s="18" t="s">
        <v>138</v>
      </c>
      <c r="P4" s="18" t="s">
        <v>139</v>
      </c>
      <c r="Q4" s="18" t="s">
        <v>140</v>
      </c>
      <c r="R4" s="18" t="s">
        <v>141</v>
      </c>
      <c r="S4" s="18" t="s">
        <v>142</v>
      </c>
      <c r="T4" s="18" t="s">
        <v>143</v>
      </c>
    </row>
    <row r="5" spans="1:20" x14ac:dyDescent="0.25">
      <c r="A5" s="12">
        <v>1</v>
      </c>
      <c r="B5" s="10" t="s">
        <v>20</v>
      </c>
      <c r="C5" s="10" t="s">
        <v>80</v>
      </c>
      <c r="D5" s="10" t="s">
        <v>41</v>
      </c>
      <c r="E5" s="11">
        <v>983.22998046875</v>
      </c>
      <c r="F5" s="20">
        <v>1.098828185466156</v>
      </c>
      <c r="G5" s="13">
        <v>0.06791451537948352</v>
      </c>
      <c r="H5" s="13">
        <v>2.120311844999623</v>
      </c>
      <c r="I5" s="13">
        <v>4.374745906456131</v>
      </c>
      <c r="J5" s="13">
        <v>1.496048779950483</v>
      </c>
      <c r="K5" s="13">
        <v>-0.3521845914379706</v>
      </c>
      <c r="L5" s="13">
        <v>-1.38333896063145</v>
      </c>
      <c r="M5" s="13">
        <v>-0.1709132315300724</v>
      </c>
      <c r="N5" s="13">
        <v>11.806134</v>
      </c>
      <c r="O5" s="13">
        <v>7.1724563</v>
      </c>
      <c r="P5" s="15">
        <v>0.8826000000000001</v>
      </c>
      <c r="Q5" s="15">
        <v>3.793</v>
      </c>
      <c r="R5" s="15">
        <v>0.8970334461244169</v>
      </c>
      <c r="S5" s="12">
        <v>53.16227436795349</v>
      </c>
      <c r="T5" s="10" t="s">
        <v>144</v>
      </c>
    </row>
    <row r="6" spans="1:20" x14ac:dyDescent="0.25">
      <c r="A6" s="12">
        <v>2</v>
      </c>
      <c r="B6" s="10" t="s">
        <v>145</v>
      </c>
      <c r="C6" s="10" t="s">
        <v>146</v>
      </c>
      <c r="D6" s="10" t="s">
        <v>71</v>
      </c>
      <c r="E6" s="11">
        <v>118.6800003051758</v>
      </c>
      <c r="F6" s="20">
        <v>0.9248307169791448</v>
      </c>
      <c r="G6" s="13">
        <v>-0.1021776266135078</v>
      </c>
      <c r="H6" s="13">
        <v>1.478885748355538</v>
      </c>
      <c r="I6" s="13">
        <v>0.05810851735046597</v>
      </c>
      <c r="J6" s="13">
        <v>1.222664040950106</v>
      </c>
      <c r="K6" s="13">
        <v>2.783443688696365</v>
      </c>
      <c r="L6" s="13">
        <v>0.05940510190248931</v>
      </c>
      <c r="M6" s="13">
        <v>-0.04483303431377017</v>
      </c>
      <c r="N6" s="13">
        <v>21.008944</v>
      </c>
      <c r="O6" s="13">
        <v>23.52564</v>
      </c>
      <c r="P6" s="15">
        <v>1.3978101</v>
      </c>
      <c r="Q6" s="15">
        <v>0.15</v>
      </c>
      <c r="R6" s="15">
        <v>0.2821719078231681</v>
      </c>
      <c r="S6" s="12">
        <v>88.24434602246464</v>
      </c>
      <c r="T6" s="10" t="s">
        <v>144</v>
      </c>
    </row>
    <row r="7" spans="1:20" x14ac:dyDescent="0.25">
      <c r="A7" s="12">
        <v>3</v>
      </c>
      <c r="B7" s="10" t="s">
        <v>3</v>
      </c>
      <c r="C7" s="10" t="s">
        <v>50</v>
      </c>
      <c r="D7" s="10" t="s">
        <v>48</v>
      </c>
      <c r="E7" s="11">
        <v>440.7699890136719</v>
      </c>
      <c r="F7" s="20">
        <v>0.8270899478021617</v>
      </c>
      <c r="G7" s="13">
        <v>0.5517648418911572</v>
      </c>
      <c r="H7" s="13">
        <v>-0.5841648209401548</v>
      </c>
      <c r="I7" s="13">
        <v>2.220104620675377</v>
      </c>
      <c r="J7" s="13">
        <v>1.937372933859106</v>
      </c>
      <c r="K7" s="13">
        <v>0.9882691421208136</v>
      </c>
      <c r="L7" s="13">
        <v>-0.4922181946632456</v>
      </c>
      <c r="M7" s="13">
        <v>-0.8880362498474288</v>
      </c>
      <c r="N7" s="13">
        <v>15.8317175</v>
      </c>
      <c r="O7" s="13">
        <v>6.782673</v>
      </c>
      <c r="P7" s="15">
        <v>0.42099</v>
      </c>
      <c r="Q7" s="15">
        <v>0.537</v>
      </c>
      <c r="R7" s="15">
        <v>0.8347615266865263</v>
      </c>
      <c r="S7" s="12">
        <v>49.53508022649612</v>
      </c>
      <c r="T7" s="10" t="s">
        <v>144</v>
      </c>
    </row>
    <row r="8" spans="1:20" x14ac:dyDescent="0.25">
      <c r="A8" s="12">
        <v>4</v>
      </c>
      <c r="B8" s="10" t="s">
        <v>4</v>
      </c>
      <c r="C8" s="10" t="s">
        <v>52</v>
      </c>
      <c r="D8" s="10" t="s">
        <v>48</v>
      </c>
      <c r="E8" s="11">
        <v>62.86000061035156</v>
      </c>
      <c r="F8" s="20">
        <v>0.8011757939906329</v>
      </c>
      <c r="G8" s="13">
        <v>0.566824578900749</v>
      </c>
      <c r="H8" s="13">
        <v>0.6193936319097979</v>
      </c>
      <c r="I8" s="13">
        <v>3.376368518487099</v>
      </c>
      <c r="J8" s="13">
        <v>0.458911755516473</v>
      </c>
      <c r="K8" s="13">
        <v>1.104381007476699</v>
      </c>
      <c r="L8" s="13">
        <v>0.1737994315903565</v>
      </c>
      <c r="M8" s="13">
        <v>-0.2277459576668361</v>
      </c>
      <c r="N8" s="13">
        <v>18.230114</v>
      </c>
      <c r="O8" s="13">
        <v>1.9172964</v>
      </c>
      <c r="P8" s="15">
        <v>0.10629</v>
      </c>
      <c r="Q8" s="15">
        <v>0.534</v>
      </c>
      <c r="R8" s="15">
        <v>0.04411002306519918</v>
      </c>
      <c r="S8" s="12">
        <v>59.85505795515519</v>
      </c>
      <c r="T8" s="10" t="s">
        <v>144</v>
      </c>
    </row>
    <row r="9" spans="1:20" x14ac:dyDescent="0.25">
      <c r="A9" s="12">
        <v>5</v>
      </c>
      <c r="B9" s="10" t="s">
        <v>147</v>
      </c>
      <c r="C9" s="10" t="s">
        <v>148</v>
      </c>
      <c r="D9" s="10" t="s">
        <v>41</v>
      </c>
      <c r="E9" s="11">
        <v>242.1100006103516</v>
      </c>
      <c r="F9" s="20">
        <v>0.7485310131378576</v>
      </c>
      <c r="G9" s="13">
        <v>0.3577366566198952</v>
      </c>
      <c r="H9" s="13">
        <v>0.5374067490114918</v>
      </c>
      <c r="I9" s="13">
        <v>0.1419530420420388</v>
      </c>
      <c r="J9" s="13">
        <v>0.7105048351920371</v>
      </c>
      <c r="K9" s="13">
        <v>4.014594210784009</v>
      </c>
      <c r="L9" s="13">
        <v>-1.78949989675306</v>
      </c>
      <c r="M9" s="13">
        <v>-0.04468413932843383</v>
      </c>
      <c r="N9" s="13">
        <v>22.741995</v>
      </c>
      <c r="O9" s="13">
        <v>5.33046</v>
      </c>
      <c r="P9" s="15">
        <v>0.19381</v>
      </c>
      <c r="Q9" s="15">
        <v>0.108</v>
      </c>
      <c r="R9" s="15">
        <v>0.3418050331596709</v>
      </c>
      <c r="S9" s="12">
        <v>53.62290831895309</v>
      </c>
      <c r="T9" s="10" t="s">
        <v>144</v>
      </c>
    </row>
    <row r="10" spans="1:20" x14ac:dyDescent="0.25">
      <c r="A10" s="12">
        <v>6</v>
      </c>
      <c r="B10" s="10" t="s">
        <v>149</v>
      </c>
      <c r="C10" s="10" t="s">
        <v>150</v>
      </c>
      <c r="D10" s="10" t="s">
        <v>41</v>
      </c>
      <c r="E10" s="11">
        <v>223.6600036621094</v>
      </c>
      <c r="F10" s="20">
        <v>0.7304731542359777</v>
      </c>
      <c r="G10" s="13">
        <v>-0.5897783617652836</v>
      </c>
      <c r="H10" s="13">
        <v>1.323294374564538</v>
      </c>
      <c r="I10" s="13">
        <v>0.4428434877247803</v>
      </c>
      <c r="J10" s="13">
        <v>1.962379308931527</v>
      </c>
      <c r="K10" s="13">
        <v>0.651483941036203</v>
      </c>
      <c r="L10" s="13">
        <v>-0.7478406522081992</v>
      </c>
      <c r="M10" s="13">
        <v>-0.5174951977548236</v>
      </c>
      <c r="N10" s="13">
        <v>30.3921</v>
      </c>
      <c r="O10" s="13">
        <v>28.248558</v>
      </c>
      <c r="P10" s="15">
        <v>1.14818</v>
      </c>
      <c r="Q10" s="15">
        <v>0.299</v>
      </c>
      <c r="R10" s="15">
        <v>1.069446361215248</v>
      </c>
      <c r="S10" s="12">
        <v>56.43443193867435</v>
      </c>
      <c r="T10" s="10" t="s">
        <v>144</v>
      </c>
    </row>
    <row r="11" spans="1:20" x14ac:dyDescent="0.25">
      <c r="A11" s="12">
        <v>7</v>
      </c>
      <c r="B11" s="10" t="s">
        <v>151</v>
      </c>
      <c r="C11" s="10" t="s">
        <v>152</v>
      </c>
      <c r="D11" s="10" t="s">
        <v>41</v>
      </c>
      <c r="E11" s="11">
        <v>384.7000122070312</v>
      </c>
      <c r="F11" s="20">
        <v>0.6860051915145142</v>
      </c>
      <c r="G11" s="13">
        <v>0.04828102099975714</v>
      </c>
      <c r="H11" s="13">
        <v>-0.2375511631998569</v>
      </c>
      <c r="I11" s="13">
        <v>0.4139498422174749</v>
      </c>
      <c r="J11" s="13">
        <v>1.430837980042635</v>
      </c>
      <c r="K11" s="13">
        <v>2.083732918933933</v>
      </c>
      <c r="L11" s="13">
        <v>0.5263811864718707</v>
      </c>
      <c r="M11" s="13">
        <v>-0.4619300731048426</v>
      </c>
      <c r="N11" s="13">
        <v>35.421635</v>
      </c>
      <c r="O11" s="13">
        <v>5.331448</v>
      </c>
      <c r="P11" s="15">
        <v>0.15286</v>
      </c>
      <c r="Q11" s="15">
        <v>0.204</v>
      </c>
      <c r="R11" s="15">
        <v>0.7848196352884533</v>
      </c>
      <c r="S11" s="12">
        <v>56.97780070744564</v>
      </c>
      <c r="T11" s="10" t="s">
        <v>144</v>
      </c>
    </row>
    <row r="12" spans="1:20" x14ac:dyDescent="0.25">
      <c r="A12" s="12">
        <v>8</v>
      </c>
      <c r="B12" s="10" t="s">
        <v>5</v>
      </c>
      <c r="C12" s="10" t="s">
        <v>54</v>
      </c>
      <c r="D12" s="10" t="s">
        <v>48</v>
      </c>
      <c r="E12" s="11">
        <v>273.760009765625</v>
      </c>
      <c r="F12" s="20">
        <v>0.6583533422228167</v>
      </c>
      <c r="G12" s="13">
        <v>0.4250371707617285</v>
      </c>
      <c r="H12" s="13">
        <v>-0.7908671120136693</v>
      </c>
      <c r="I12" s="13">
        <v>2.19145286898498</v>
      </c>
      <c r="J12" s="13">
        <v>1.452374421283849</v>
      </c>
      <c r="K12" s="13">
        <v>0.8891789114767856</v>
      </c>
      <c r="L12" s="13">
        <v>-0.04406279010223686</v>
      </c>
      <c r="M12" s="13">
        <v>-0.6316240730855012</v>
      </c>
      <c r="N12" s="13">
        <v>16.181713</v>
      </c>
      <c r="O12" s="13">
        <v>3.5864637</v>
      </c>
      <c r="P12" s="15">
        <v>0.23452999</v>
      </c>
      <c r="Q12" s="15">
        <v>0.531</v>
      </c>
      <c r="R12" s="15">
        <v>0.5978504305417698</v>
      </c>
      <c r="S12" s="12">
        <v>48.6731365978408</v>
      </c>
      <c r="T12" s="10" t="s">
        <v>144</v>
      </c>
    </row>
    <row r="13" spans="1:20" x14ac:dyDescent="0.25">
      <c r="A13" s="12">
        <v>9</v>
      </c>
      <c r="B13" s="10" t="s">
        <v>97</v>
      </c>
      <c r="C13" s="10" t="s">
        <v>153</v>
      </c>
      <c r="D13" s="10" t="s">
        <v>41</v>
      </c>
      <c r="E13" s="11">
        <v>493.7900085449219</v>
      </c>
      <c r="F13" s="20">
        <v>0.6582074495600825</v>
      </c>
      <c r="G13" s="13">
        <v>0.05713419359814995</v>
      </c>
      <c r="H13" s="13">
        <v>-0.8470631150581625</v>
      </c>
      <c r="I13" s="13">
        <v>2.031246146270835</v>
      </c>
      <c r="J13" s="13">
        <v>1.842822482770811</v>
      </c>
      <c r="K13" s="13">
        <v>1.964581475950931</v>
      </c>
      <c r="L13" s="13">
        <v>-2.966059013610191</v>
      </c>
      <c r="M13" s="13">
        <v>-0.37880253292632</v>
      </c>
      <c r="N13" s="13">
        <v>26.537209</v>
      </c>
      <c r="O13" s="13">
        <v>-204.68161</v>
      </c>
      <c r="P13" s="15">
        <v>0</v>
      </c>
      <c r="Q13" s="15">
        <v>0.577</v>
      </c>
      <c r="R13" s="15">
        <v>1.408300635135744</v>
      </c>
      <c r="S13" s="12">
        <v>47.33307875933083</v>
      </c>
      <c r="T13" s="10" t="s">
        <v>144</v>
      </c>
    </row>
    <row r="14" spans="1:20" x14ac:dyDescent="0.25">
      <c r="A14" s="12">
        <v>10</v>
      </c>
      <c r="B14" s="10" t="s">
        <v>2</v>
      </c>
      <c r="C14" s="10" t="s">
        <v>47</v>
      </c>
      <c r="D14" s="10" t="s">
        <v>48</v>
      </c>
      <c r="E14" s="11">
        <v>388.4800109863281</v>
      </c>
      <c r="F14" s="20">
        <v>0.6456943403540862</v>
      </c>
      <c r="G14" s="13">
        <v>0.6756029609655434</v>
      </c>
      <c r="H14" s="13">
        <v>-0.5462551562160844</v>
      </c>
      <c r="I14" s="13">
        <v>3.078602027688536</v>
      </c>
      <c r="J14" s="13">
        <v>1.252228862539926</v>
      </c>
      <c r="K14" s="13">
        <v>0.1049678836804901</v>
      </c>
      <c r="L14" s="13">
        <v>-0.5295447164708755</v>
      </c>
      <c r="M14" s="13">
        <v>-0.6608211526171979</v>
      </c>
      <c r="N14" s="13">
        <v>9.535591999999999</v>
      </c>
      <c r="O14" s="13">
        <v>4.828746</v>
      </c>
      <c r="P14" s="15">
        <v>0.27637</v>
      </c>
      <c r="Q14" s="15">
        <v>0.519</v>
      </c>
      <c r="R14" s="15">
        <v>0.5592286923165775</v>
      </c>
      <c r="S14" s="12">
        <v>39.34066555553889</v>
      </c>
      <c r="T14" s="10" t="s">
        <v>144</v>
      </c>
    </row>
    <row r="15" spans="1:20" x14ac:dyDescent="0.25">
      <c r="A15" s="12">
        <v>11</v>
      </c>
      <c r="B15" s="10" t="s">
        <v>17</v>
      </c>
      <c r="C15" s="10" t="s">
        <v>74</v>
      </c>
      <c r="D15" s="10" t="s">
        <v>68</v>
      </c>
      <c r="E15" s="11">
        <v>127.1800003051758</v>
      </c>
      <c r="F15" s="20">
        <v>0.6351956745217202</v>
      </c>
      <c r="G15" s="13">
        <v>0.3796606724920632</v>
      </c>
      <c r="H15" s="13">
        <v>-0.1358166451154303</v>
      </c>
      <c r="I15" s="13">
        <v>0.3489564476814</v>
      </c>
      <c r="J15" s="13">
        <v>0.2679391168353718</v>
      </c>
      <c r="K15" s="13">
        <v>4.014594210784009</v>
      </c>
      <c r="L15" s="13">
        <v>-0.1376914026986835</v>
      </c>
      <c r="M15" s="13">
        <v>-0.002247303241175558</v>
      </c>
      <c r="N15" s="13">
        <v>15.263093</v>
      </c>
      <c r="O15" s="13">
        <v>6.8659253</v>
      </c>
      <c r="P15" s="15">
        <v>0.46032003</v>
      </c>
      <c r="Q15" s="15">
        <v>0.07000000000000001</v>
      </c>
      <c r="R15" s="15">
        <v>0.3289446641671165</v>
      </c>
      <c r="S15" s="12">
        <v>59.5120628523958</v>
      </c>
      <c r="T15" s="10" t="s">
        <v>144</v>
      </c>
    </row>
    <row r="16" spans="1:20" x14ac:dyDescent="0.25">
      <c r="A16" s="12">
        <v>12</v>
      </c>
      <c r="B16" s="10" t="s">
        <v>0</v>
      </c>
      <c r="C16" s="10" t="s">
        <v>40</v>
      </c>
      <c r="D16" s="10" t="s">
        <v>41</v>
      </c>
      <c r="E16" s="11">
        <v>1404.77001953125</v>
      </c>
      <c r="F16" s="20">
        <v>0.6280491193788061</v>
      </c>
      <c r="G16" s="13">
        <v>-0.1210969854043412</v>
      </c>
      <c r="H16" s="13">
        <v>2.024479763629252</v>
      </c>
      <c r="I16" s="13">
        <v>4.101510624283214</v>
      </c>
      <c r="J16" s="13">
        <v>0.3468187207921932</v>
      </c>
      <c r="K16" s="13">
        <v>0.1760940001550379</v>
      </c>
      <c r="L16" s="13">
        <v>-3.097986319363623</v>
      </c>
      <c r="M16" s="13">
        <v>-0.2939870618982421</v>
      </c>
      <c r="N16" s="13">
        <v>16.78457</v>
      </c>
      <c r="O16" s="13">
        <v>11.7225485</v>
      </c>
      <c r="P16" s="15">
        <v>0.9164</v>
      </c>
      <c r="Q16" s="15">
        <v>3.716</v>
      </c>
      <c r="R16" s="15">
        <v>0.3200120945059926</v>
      </c>
      <c r="S16" s="12">
        <v>45.4199541945831</v>
      </c>
      <c r="T16" s="10" t="s">
        <v>144</v>
      </c>
    </row>
    <row r="17" spans="1:20" x14ac:dyDescent="0.25">
      <c r="A17" s="12">
        <v>13</v>
      </c>
      <c r="B17" s="10" t="s">
        <v>12</v>
      </c>
      <c r="C17" s="10" t="s">
        <v>66</v>
      </c>
      <c r="D17" s="10" t="s">
        <v>59</v>
      </c>
      <c r="E17" s="11">
        <v>250.1999969482422</v>
      </c>
      <c r="F17" s="20">
        <v>0.6136649219474224</v>
      </c>
      <c r="G17" s="13">
        <v>1.301722959909375</v>
      </c>
      <c r="H17" s="13">
        <v>0.155393463655055</v>
      </c>
      <c r="I17" s="13">
        <v>-0.05966233200484763</v>
      </c>
      <c r="J17" s="13">
        <v>0.135071340567036</v>
      </c>
      <c r="K17" s="13">
        <v>2.261852167883015</v>
      </c>
      <c r="L17" s="13">
        <v>0.3689777039383532</v>
      </c>
      <c r="M17" s="13">
        <v>0.3296967953379619</v>
      </c>
      <c r="N17" s="13">
        <v>5.0658264</v>
      </c>
      <c r="O17" s="13">
        <v>2.0289123</v>
      </c>
      <c r="P17" s="15">
        <v>0.46113998</v>
      </c>
      <c r="Q17" s="15">
        <v>0.118</v>
      </c>
      <c r="R17" s="15">
        <v>0.1894920161573121</v>
      </c>
      <c r="S17" s="12">
        <v>57.30037871553312</v>
      </c>
      <c r="T17" s="10" t="s">
        <v>144</v>
      </c>
    </row>
    <row r="18" spans="1:20" x14ac:dyDescent="0.25">
      <c r="A18" s="12">
        <v>14</v>
      </c>
      <c r="B18" s="10" t="s">
        <v>19</v>
      </c>
      <c r="C18" s="10" t="s">
        <v>78</v>
      </c>
      <c r="D18" s="10" t="s">
        <v>41</v>
      </c>
      <c r="E18" s="11">
        <v>60.33000183105469</v>
      </c>
      <c r="F18" s="20">
        <v>0.6115515016343012</v>
      </c>
      <c r="G18" s="13">
        <v>0.4464309068725473</v>
      </c>
      <c r="H18" s="13">
        <v>-0.5318955650802734</v>
      </c>
      <c r="I18" s="13">
        <v>1.921654367620273</v>
      </c>
      <c r="J18" s="13">
        <v>1.905501347493096</v>
      </c>
      <c r="K18" s="13">
        <v>0.4612063815786523</v>
      </c>
      <c r="L18" s="13">
        <v>-2.424581344070424</v>
      </c>
      <c r="M18" s="13">
        <v>-0.7173562168135321</v>
      </c>
      <c r="N18" s="13">
        <v>29.221647</v>
      </c>
      <c r="O18" s="13">
        <v>2.839611</v>
      </c>
      <c r="P18" s="15">
        <v>0.10936</v>
      </c>
      <c r="Q18" s="15">
        <v>0.337</v>
      </c>
      <c r="R18" s="15">
        <v>1.143447110480078</v>
      </c>
      <c r="S18" s="12">
        <v>49.09569754866049</v>
      </c>
      <c r="T18" s="10" t="s">
        <v>144</v>
      </c>
    </row>
    <row r="19" spans="1:20" x14ac:dyDescent="0.25">
      <c r="A19" s="12">
        <v>15</v>
      </c>
      <c r="B19" s="10" t="s">
        <v>15</v>
      </c>
      <c r="C19" s="10" t="s">
        <v>70</v>
      </c>
      <c r="D19" s="10" t="s">
        <v>71</v>
      </c>
      <c r="E19" s="11">
        <v>254.6000061035156</v>
      </c>
      <c r="F19" s="20">
        <v>0.5987047497331367</v>
      </c>
      <c r="G19" s="13">
        <v>-0.01496672364506546</v>
      </c>
      <c r="H19" s="13">
        <v>0.1542892813476287</v>
      </c>
      <c r="I19" s="13">
        <v>0.8713107962133875</v>
      </c>
      <c r="J19" s="13">
        <v>-0.02768746394787068</v>
      </c>
      <c r="K19" s="13">
        <v>4.014594210784009</v>
      </c>
      <c r="L19" s="13">
        <v>0.4020085725817829</v>
      </c>
      <c r="M19" s="13">
        <v>-0.09980231390422098</v>
      </c>
      <c r="N19" s="13">
        <v>19.951729</v>
      </c>
      <c r="O19" s="13">
        <v>4.847916</v>
      </c>
      <c r="P19" s="15">
        <v>0.30558002</v>
      </c>
      <c r="Q19" s="15">
        <v>0.196</v>
      </c>
      <c r="R19" s="15">
        <v>-0.03208638293503119</v>
      </c>
      <c r="S19" s="12">
        <v>50.10387051339971</v>
      </c>
      <c r="T19" s="10" t="s">
        <v>144</v>
      </c>
    </row>
    <row r="20" spans="1:20" x14ac:dyDescent="0.25">
      <c r="A20" s="12">
        <v>16</v>
      </c>
      <c r="B20" s="10" t="s">
        <v>6</v>
      </c>
      <c r="C20" s="10" t="s">
        <v>55</v>
      </c>
      <c r="D20" s="10" t="s">
        <v>48</v>
      </c>
      <c r="E20" s="11">
        <v>51.11000061035156</v>
      </c>
      <c r="F20" s="20">
        <v>0.5895047456189971</v>
      </c>
      <c r="G20" s="13">
        <v>0.957283778321985</v>
      </c>
      <c r="H20" s="13">
        <v>0.558295451891116</v>
      </c>
      <c r="I20" s="13">
        <v>-0.2689700716737786</v>
      </c>
      <c r="J20" s="13">
        <v>1.658940527086052</v>
      </c>
      <c r="K20" s="13">
        <v>-0.5965666326582115</v>
      </c>
      <c r="L20" s="13">
        <v>-0.5792736512588742</v>
      </c>
      <c r="M20" s="13">
        <v>-0.4571792843182348</v>
      </c>
      <c r="N20" s="13">
        <v>10.972516</v>
      </c>
      <c r="O20" s="13">
        <v>2.5921488</v>
      </c>
      <c r="P20" s="15">
        <v>0.26659</v>
      </c>
      <c r="Q20" s="15">
        <v>0.092</v>
      </c>
      <c r="R20" s="15">
        <v>0.2829938188643522</v>
      </c>
      <c r="S20" s="12">
        <v>69.79510113196949</v>
      </c>
      <c r="T20" s="10" t="s">
        <v>144</v>
      </c>
    </row>
    <row r="21" spans="1:20" x14ac:dyDescent="0.25">
      <c r="A21" s="12">
        <v>17</v>
      </c>
      <c r="B21" s="10" t="s">
        <v>13</v>
      </c>
      <c r="C21" s="10" t="s">
        <v>67</v>
      </c>
      <c r="D21" s="10" t="s">
        <v>68</v>
      </c>
      <c r="E21" s="11">
        <v>148.9600067138672</v>
      </c>
      <c r="F21" s="20">
        <v>0.5665894922027629</v>
      </c>
      <c r="G21" s="13">
        <v>0.5257633509888116</v>
      </c>
      <c r="H21" s="13">
        <v>-0.5626631405931719</v>
      </c>
      <c r="I21" s="13">
        <v>-0.08095568627262067</v>
      </c>
      <c r="J21" s="13">
        <v>0.2176891586665211</v>
      </c>
      <c r="K21" s="13">
        <v>3.951857328560303</v>
      </c>
      <c r="L21" s="13">
        <v>0.3018985512407388</v>
      </c>
      <c r="M21" s="13">
        <v>0.1553777505663659</v>
      </c>
      <c r="N21" s="13">
        <v>15.862927</v>
      </c>
      <c r="O21" s="13">
        <v>3.889299</v>
      </c>
      <c r="P21" s="15">
        <v>0.26408002</v>
      </c>
      <c r="Q21" s="15">
        <v>0.053</v>
      </c>
      <c r="R21" s="15">
        <v>0.1849654424027909</v>
      </c>
      <c r="S21" s="12">
        <v>41.52179444460987</v>
      </c>
      <c r="T21" s="10" t="s">
        <v>144</v>
      </c>
    </row>
    <row r="22" spans="1:20" x14ac:dyDescent="0.25">
      <c r="A22" s="12">
        <v>18</v>
      </c>
      <c r="B22" s="10" t="s">
        <v>154</v>
      </c>
      <c r="C22" s="10" t="s">
        <v>155</v>
      </c>
      <c r="D22" s="10" t="s">
        <v>41</v>
      </c>
      <c r="E22" s="11">
        <v>219.1600036621094</v>
      </c>
      <c r="F22" s="20">
        <v>0.525157608558084</v>
      </c>
      <c r="G22" s="13">
        <v>0.545145410269914</v>
      </c>
      <c r="H22" s="13">
        <v>1.102552915219114</v>
      </c>
      <c r="I22" s="13">
        <v>-0.5091323677952366</v>
      </c>
      <c r="J22" s="13">
        <v>1.091574783969691</v>
      </c>
      <c r="K22" s="13">
        <v>0.3791377856464817</v>
      </c>
      <c r="L22" s="13">
        <v>-1.314048526958703</v>
      </c>
      <c r="M22" s="13">
        <v>0.09262684003752203</v>
      </c>
      <c r="N22" s="13">
        <v>20.820976</v>
      </c>
      <c r="O22" s="13">
        <v>-88.63741</v>
      </c>
      <c r="P22" s="15">
        <v>1.13581</v>
      </c>
      <c r="Q22" s="15">
        <v>-0.006</v>
      </c>
      <c r="R22" s="15">
        <v>0.4588298601804097</v>
      </c>
      <c r="S22" s="12">
        <v>60.95715861661075</v>
      </c>
      <c r="T22" s="10" t="s">
        <v>144</v>
      </c>
    </row>
    <row r="23" spans="1:20" x14ac:dyDescent="0.25">
      <c r="A23" s="12">
        <v>19</v>
      </c>
      <c r="B23" s="10" t="s">
        <v>156</v>
      </c>
      <c r="C23" s="10" t="s">
        <v>157</v>
      </c>
      <c r="D23" s="10" t="s">
        <v>63</v>
      </c>
      <c r="E23" s="11">
        <v>1288.300048828125</v>
      </c>
      <c r="F23" s="20">
        <v>0.5115653879937024</v>
      </c>
      <c r="G23" s="13">
        <v>-1.388206481283452</v>
      </c>
      <c r="H23" s="13">
        <v>1.764930674756562</v>
      </c>
      <c r="I23" s="13">
        <v>0.7800934702807365</v>
      </c>
      <c r="J23" s="13">
        <v>0.9667223156030281</v>
      </c>
      <c r="K23" s="13">
        <v>0.99981953710386</v>
      </c>
      <c r="L23" s="13">
        <v>0.2212481760773824</v>
      </c>
      <c r="M23" s="13">
        <v>-0.2778203757801803</v>
      </c>
      <c r="N23" s="13">
        <v>42.7479</v>
      </c>
      <c r="O23" s="13">
        <v>33.51034</v>
      </c>
      <c r="P23" s="15">
        <v>1.02286</v>
      </c>
      <c r="Q23" s="15">
        <v>0.477</v>
      </c>
      <c r="R23" s="15">
        <v>0.5182704893429069</v>
      </c>
      <c r="S23" s="12">
        <v>64.45922831357694</v>
      </c>
      <c r="T23" s="10" t="s">
        <v>144</v>
      </c>
    </row>
    <row r="24" spans="1:20" x14ac:dyDescent="0.25">
      <c r="A24" s="12">
        <v>20</v>
      </c>
      <c r="B24" s="10" t="s">
        <v>158</v>
      </c>
      <c r="C24" s="10" t="s">
        <v>159</v>
      </c>
      <c r="D24" s="10" t="s">
        <v>41</v>
      </c>
      <c r="E24" s="11">
        <v>35.81000137329102</v>
      </c>
      <c r="F24" s="20">
        <v>0.5041575119380413</v>
      </c>
      <c r="G24" s="13">
        <v>0.1108263098937031</v>
      </c>
      <c r="H24" s="13">
        <v>-0.8143184771931256</v>
      </c>
      <c r="I24" s="13">
        <v>3.554210510913213</v>
      </c>
      <c r="J24" s="13">
        <v>-0.012230389454572</v>
      </c>
      <c r="K24" s="13">
        <v>4.014594210784009</v>
      </c>
      <c r="L24" s="13">
        <v>-3.097986319363623</v>
      </c>
      <c r="M24" s="13">
        <v>-0.4140540984892337</v>
      </c>
      <c r="N24" s="13">
        <v>10.104294</v>
      </c>
      <c r="O24" s="13">
        <v>2.1103208</v>
      </c>
      <c r="P24" s="15">
        <v>0.21465999</v>
      </c>
      <c r="Q24" s="15">
        <v>0.9320000000000001</v>
      </c>
      <c r="R24" s="15">
        <v>0.3605623779825875</v>
      </c>
      <c r="S24" s="12">
        <v>47.07061183668297</v>
      </c>
      <c r="T24" s="10" t="s">
        <v>144</v>
      </c>
    </row>
    <row r="25" spans="1:20" x14ac:dyDescent="0.25">
      <c r="A25" s="12">
        <v>21</v>
      </c>
      <c r="B25" s="10" t="s">
        <v>16</v>
      </c>
      <c r="C25" s="10" t="s">
        <v>73</v>
      </c>
      <c r="D25" s="10" t="s">
        <v>63</v>
      </c>
      <c r="E25" s="11">
        <v>288.7900085449219</v>
      </c>
      <c r="F25" s="20">
        <v>0.5032478102300448</v>
      </c>
      <c r="G25" s="13">
        <v>-0.8342575080507805</v>
      </c>
      <c r="H25" s="13">
        <v>0.4371529011362432</v>
      </c>
      <c r="I25" s="13">
        <v>-0.4051267303385019</v>
      </c>
      <c r="J25" s="13">
        <v>2.665296132082456</v>
      </c>
      <c r="K25" s="13">
        <v>-0.2433677123871668</v>
      </c>
      <c r="L25" s="13">
        <v>-1.413069420515052</v>
      </c>
      <c r="M25" s="13">
        <v>-0.7702272297017148</v>
      </c>
      <c r="N25" s="13">
        <v>50.264927</v>
      </c>
      <c r="O25" s="13">
        <v>14.334664</v>
      </c>
      <c r="P25" s="15">
        <v>0.32339</v>
      </c>
      <c r="Q25" s="15">
        <v>0.094</v>
      </c>
      <c r="R25" s="15">
        <v>1.399185859893338</v>
      </c>
      <c r="S25" s="12">
        <v>63.70843342016855</v>
      </c>
      <c r="T25" s="10" t="s">
        <v>144</v>
      </c>
    </row>
    <row r="26" spans="1:20" x14ac:dyDescent="0.25">
      <c r="A26" s="12">
        <v>22</v>
      </c>
      <c r="B26" s="10" t="s">
        <v>160</v>
      </c>
      <c r="C26" s="10" t="s">
        <v>161</v>
      </c>
      <c r="D26" s="10" t="s">
        <v>48</v>
      </c>
      <c r="E26" s="11">
        <v>229.1999969482422</v>
      </c>
      <c r="F26" s="20">
        <v>0.4839701000263683</v>
      </c>
      <c r="G26" s="13">
        <v>0.4404587731345534</v>
      </c>
      <c r="H26" s="13">
        <v>-0.3260199495067941</v>
      </c>
      <c r="I26" s="13">
        <v>2.111124049114091</v>
      </c>
      <c r="J26" s="13">
        <v>0.8581467285561942</v>
      </c>
      <c r="K26" s="13">
        <v>-0.1205687762516228</v>
      </c>
      <c r="L26" s="13">
        <v>0.7107909051281106</v>
      </c>
      <c r="M26" s="13">
        <v>-0.4985613981565449</v>
      </c>
      <c r="N26" s="13">
        <v>22.445621</v>
      </c>
      <c r="O26" s="13">
        <v>2.4091942</v>
      </c>
      <c r="P26" s="15">
        <v>0.12231</v>
      </c>
      <c r="Q26" s="15">
        <v>0.535</v>
      </c>
      <c r="R26" s="15">
        <v>0.2138064356702469</v>
      </c>
      <c r="S26" s="12">
        <v>67.02614969203353</v>
      </c>
      <c r="T26" s="10" t="s">
        <v>144</v>
      </c>
    </row>
    <row r="27" spans="1:20" x14ac:dyDescent="0.25">
      <c r="A27" s="12">
        <v>23</v>
      </c>
      <c r="B27" s="10" t="s">
        <v>8</v>
      </c>
      <c r="C27" s="10" t="s">
        <v>58</v>
      </c>
      <c r="D27" s="10" t="s">
        <v>59</v>
      </c>
      <c r="E27" s="11">
        <v>394.010009765625</v>
      </c>
      <c r="F27" s="20">
        <v>0.4791221043109232</v>
      </c>
      <c r="G27" s="13">
        <v>1.210468330042206</v>
      </c>
      <c r="H27" s="13">
        <v>-0.1106103446701885</v>
      </c>
      <c r="I27" s="13">
        <v>-0.5992254483857593</v>
      </c>
      <c r="J27" s="13">
        <v>0.6738357499210089</v>
      </c>
      <c r="K27" s="13">
        <v>0.7706353840192061</v>
      </c>
      <c r="L27" s="13">
        <v>1.016655837754621</v>
      </c>
      <c r="M27" s="13">
        <v>-0.209603955434407</v>
      </c>
      <c r="N27" s="13">
        <v>10.472785</v>
      </c>
      <c r="O27" s="13">
        <v>2.8145406</v>
      </c>
      <c r="P27" s="15">
        <v>0.27497</v>
      </c>
      <c r="Q27" s="15">
        <v>-0.005</v>
      </c>
      <c r="R27" s="15">
        <v>0.313515148450717</v>
      </c>
      <c r="S27" s="12">
        <v>61.64951753744614</v>
      </c>
      <c r="T27" s="10" t="s">
        <v>144</v>
      </c>
    </row>
    <row r="28" spans="1:20" x14ac:dyDescent="0.25">
      <c r="A28" s="12">
        <v>24</v>
      </c>
      <c r="B28" s="10" t="s">
        <v>162</v>
      </c>
      <c r="C28" s="10" t="s">
        <v>163</v>
      </c>
      <c r="D28" s="10" t="s">
        <v>63</v>
      </c>
      <c r="E28" s="11">
        <v>476.8800048828125</v>
      </c>
      <c r="F28" s="20">
        <v>0.4717449332054806</v>
      </c>
      <c r="G28" s="13">
        <v>-1.084245711748898</v>
      </c>
      <c r="H28" s="13">
        <v>-0.4287673226066602</v>
      </c>
      <c r="I28" s="13">
        <v>4.101510624283214</v>
      </c>
      <c r="J28" s="13">
        <v>1.347572280507852</v>
      </c>
      <c r="K28" s="13">
        <v>-0.5722500116412721</v>
      </c>
      <c r="L28" s="13">
        <v>0.6109281231946591</v>
      </c>
      <c r="M28" s="13">
        <v>-0.5862062454756989</v>
      </c>
      <c r="N28" s="13">
        <v>114.853165</v>
      </c>
      <c r="O28" s="13">
        <v>2.932655</v>
      </c>
      <c r="P28" s="15">
        <v>0.019199999</v>
      </c>
      <c r="Q28" s="15">
        <v>1.134</v>
      </c>
      <c r="R28" s="15">
        <v>0.632423910286491</v>
      </c>
      <c r="S28" s="12">
        <v>72.53468711929845</v>
      </c>
      <c r="T28" s="10" t="s">
        <v>144</v>
      </c>
    </row>
    <row r="29" spans="1:20" x14ac:dyDescent="0.25">
      <c r="A29" s="12">
        <v>25</v>
      </c>
      <c r="B29" s="10" t="s">
        <v>164</v>
      </c>
      <c r="C29" s="10" t="s">
        <v>165</v>
      </c>
      <c r="D29" s="10" t="s">
        <v>63</v>
      </c>
      <c r="E29" s="11">
        <v>165.3300018310547</v>
      </c>
      <c r="F29" s="20">
        <v>0.4498972970691811</v>
      </c>
      <c r="G29" s="13">
        <v>-0.3170873021371574</v>
      </c>
      <c r="H29" s="13">
        <v>-0.3113694059753874</v>
      </c>
      <c r="I29" s="13">
        <v>-0.5838760622146166</v>
      </c>
      <c r="J29" s="13">
        <v>2.231076956650599</v>
      </c>
      <c r="K29" s="13">
        <v>0.310443331273628</v>
      </c>
      <c r="L29" s="13">
        <v>-0.2375109695780153</v>
      </c>
      <c r="M29" s="13">
        <v>-0.9643238242742648</v>
      </c>
      <c r="N29" s="13">
        <v>75.966515</v>
      </c>
      <c r="O29" s="13">
        <v>2.4507976</v>
      </c>
      <c r="P29" s="15">
        <v>0.03211</v>
      </c>
      <c r="Q29" s="15">
        <v>0.013</v>
      </c>
      <c r="R29" s="15">
        <v>1.012002117277922</v>
      </c>
      <c r="S29" s="12">
        <v>72.75346077812672</v>
      </c>
      <c r="T29" s="10" t="s">
        <v>144</v>
      </c>
    </row>
    <row r="30" spans="1:20" x14ac:dyDescent="0.25">
      <c r="A30" s="12">
        <v>26</v>
      </c>
      <c r="B30" s="10" t="s">
        <v>166</v>
      </c>
      <c r="C30" s="10" t="s">
        <v>167</v>
      </c>
      <c r="D30" s="10" t="s">
        <v>48</v>
      </c>
      <c r="E30" s="11">
        <v>160.9199981689453</v>
      </c>
      <c r="F30" s="20">
        <v>0.4336651527961836</v>
      </c>
      <c r="G30" s="13">
        <v>0.5166087320822246</v>
      </c>
      <c r="H30" s="13">
        <v>0.4644283467418105</v>
      </c>
      <c r="I30" s="13">
        <v>1.409962180671978</v>
      </c>
      <c r="J30" s="13">
        <v>0.7286648778529116</v>
      </c>
      <c r="K30" s="13">
        <v>-0.5303038403870517</v>
      </c>
      <c r="L30" s="13">
        <v>0.09257333306776995</v>
      </c>
      <c r="M30" s="13">
        <v>-0.4393321877249724</v>
      </c>
      <c r="N30" s="13">
        <v>12.294871</v>
      </c>
      <c r="O30" s="13">
        <v>2.6886668</v>
      </c>
      <c r="P30" s="15">
        <v>0.22507</v>
      </c>
      <c r="Q30" s="15">
        <v>0.587</v>
      </c>
      <c r="R30" s="15">
        <v>0.1731240260399742</v>
      </c>
      <c r="S30" s="12">
        <v>68.77809510090935</v>
      </c>
      <c r="T30" s="10" t="s">
        <v>144</v>
      </c>
    </row>
    <row r="31" spans="1:20" x14ac:dyDescent="0.25">
      <c r="A31" s="12">
        <v>27</v>
      </c>
      <c r="B31" s="10" t="s">
        <v>168</v>
      </c>
      <c r="C31" s="10" t="s">
        <v>169</v>
      </c>
      <c r="D31" s="10" t="s">
        <v>48</v>
      </c>
      <c r="E31" s="11">
        <v>149.0599975585938</v>
      </c>
      <c r="F31" s="20">
        <v>0.4164293814309509</v>
      </c>
      <c r="G31" s="13">
        <v>0.4212300253638723</v>
      </c>
      <c r="H31" s="13">
        <v>-0.1366565276281176</v>
      </c>
      <c r="I31" s="13">
        <v>0.7680402950923062</v>
      </c>
      <c r="J31" s="13">
        <v>1.035387127078422</v>
      </c>
      <c r="K31" s="13">
        <v>-0.01479147482793644</v>
      </c>
      <c r="L31" s="13">
        <v>0.2268287937050987</v>
      </c>
      <c r="M31" s="13">
        <v>-0.4597737123719783</v>
      </c>
      <c r="N31" s="13">
        <v>19.97351</v>
      </c>
      <c r="O31" s="13">
        <v>2.7722118</v>
      </c>
      <c r="P31" s="15">
        <v>0.1418</v>
      </c>
      <c r="Q31" s="15">
        <v>0.355</v>
      </c>
      <c r="R31" s="15">
        <v>0.1787084300226649</v>
      </c>
      <c r="S31" s="12">
        <v>68.80171641570058</v>
      </c>
      <c r="T31" s="10" t="s">
        <v>144</v>
      </c>
    </row>
    <row r="32" spans="1:20" x14ac:dyDescent="0.25">
      <c r="A32" s="12">
        <v>28</v>
      </c>
      <c r="B32" s="10" t="s">
        <v>170</v>
      </c>
      <c r="C32" s="10" t="s">
        <v>171</v>
      </c>
      <c r="D32" s="10" t="s">
        <v>63</v>
      </c>
      <c r="E32" s="11">
        <v>813.27001953125</v>
      </c>
      <c r="F32" s="20">
        <v>0.4070401145996031</v>
      </c>
      <c r="G32" s="13">
        <v>0.1590333595748532</v>
      </c>
      <c r="H32" s="13">
        <v>0.1823473620568765</v>
      </c>
      <c r="I32" s="13">
        <v>-0.1867017250942866</v>
      </c>
      <c r="J32" s="13">
        <v>0.4243594326744911</v>
      </c>
      <c r="K32" s="13">
        <v>1.773088085442533</v>
      </c>
      <c r="L32" s="13">
        <v>0.3811843272587798</v>
      </c>
      <c r="M32" s="13">
        <v>0.06199055956849875</v>
      </c>
      <c r="N32" s="13">
        <v>19.906528</v>
      </c>
      <c r="O32" s="13">
        <v>2.5466373</v>
      </c>
      <c r="P32" s="15">
        <v>0.14043</v>
      </c>
      <c r="Q32" s="15">
        <v>0.167</v>
      </c>
      <c r="R32" s="15">
        <v>0.1880584425687588</v>
      </c>
      <c r="S32" s="12">
        <v>59.85997359519212</v>
      </c>
      <c r="T32" s="10" t="s">
        <v>144</v>
      </c>
    </row>
    <row r="33" spans="1:20" x14ac:dyDescent="0.25">
      <c r="A33" s="12">
        <v>29</v>
      </c>
      <c r="B33" s="10" t="s">
        <v>172</v>
      </c>
      <c r="C33" s="10" t="s">
        <v>173</v>
      </c>
      <c r="D33" s="10" t="s">
        <v>63</v>
      </c>
      <c r="E33" s="11">
        <v>451.8299865722656</v>
      </c>
      <c r="F33" s="20">
        <v>0.4003109661536394</v>
      </c>
      <c r="G33" s="13">
        <v>-0.3228455188463615</v>
      </c>
      <c r="H33" s="13">
        <v>1.209241431084711</v>
      </c>
      <c r="I33" s="13">
        <v>-0.1076808563484242</v>
      </c>
      <c r="J33" s="13">
        <v>0.995955442477683</v>
      </c>
      <c r="K33" s="13">
        <v>0.06970878320592799</v>
      </c>
      <c r="L33" s="13">
        <v>-0.09117339945257633</v>
      </c>
      <c r="M33" s="13">
        <v>-0.3246083319198573</v>
      </c>
      <c r="N33" s="13">
        <v>27.28323</v>
      </c>
      <c r="O33" s="13">
        <v>20.317299</v>
      </c>
      <c r="P33" s="15">
        <v>0.91473</v>
      </c>
      <c r="Q33" s="15">
        <v>0.095</v>
      </c>
      <c r="R33" s="15">
        <v>0.3546608252712513</v>
      </c>
      <c r="S33" s="12">
        <v>66.18473722445574</v>
      </c>
      <c r="T33" s="10" t="s">
        <v>144</v>
      </c>
    </row>
    <row r="34" spans="1:20" x14ac:dyDescent="0.25">
      <c r="A34" s="12">
        <v>30</v>
      </c>
      <c r="B34" s="10" t="s">
        <v>174</v>
      </c>
      <c r="C34" s="10" t="s">
        <v>175</v>
      </c>
      <c r="D34" s="10" t="s">
        <v>71</v>
      </c>
      <c r="E34" s="11">
        <v>250.0899963378906</v>
      </c>
      <c r="F34" s="20">
        <v>0.3985702241862498</v>
      </c>
      <c r="G34" s="13">
        <v>-0.08900982883101285</v>
      </c>
      <c r="H34" s="13">
        <v>0.2539639118392673</v>
      </c>
      <c r="I34" s="13">
        <v>-0.274840875157752</v>
      </c>
      <c r="J34" s="13">
        <v>0.6574651584269715</v>
      </c>
      <c r="K34" s="13">
        <v>1.644209994052754</v>
      </c>
      <c r="L34" s="13">
        <v>0.5551342182852876</v>
      </c>
      <c r="M34" s="13">
        <v>-0.3301368114276844</v>
      </c>
      <c r="N34" s="13">
        <v>25.89436</v>
      </c>
      <c r="O34" s="13">
        <v>13.889531</v>
      </c>
      <c r="P34" s="15">
        <v>0.54960996</v>
      </c>
      <c r="Q34" s="15">
        <v>0.067</v>
      </c>
      <c r="R34" s="15">
        <v>0.3891379247947067</v>
      </c>
      <c r="S34" s="12">
        <v>58.37940415887526</v>
      </c>
      <c r="T34" s="10" t="s">
        <v>144</v>
      </c>
    </row>
    <row r="35" spans="1:20" x14ac:dyDescent="0.25">
      <c r="A35" s="12">
        <v>31</v>
      </c>
      <c r="B35" s="10" t="s">
        <v>176</v>
      </c>
      <c r="C35" s="10" t="s">
        <v>177</v>
      </c>
      <c r="D35" s="10" t="s">
        <v>59</v>
      </c>
      <c r="E35" s="11">
        <v>179.3899993896484</v>
      </c>
      <c r="F35" s="20">
        <v>0.3975752889254228</v>
      </c>
      <c r="G35" s="13">
        <v>0.9540352081394872</v>
      </c>
      <c r="H35" s="13">
        <v>-0.03981834549227888</v>
      </c>
      <c r="I35" s="13">
        <v>0.5764489696094983</v>
      </c>
      <c r="J35" s="13">
        <v>0.2437418882062985</v>
      </c>
      <c r="K35" s="13">
        <v>0</v>
      </c>
      <c r="L35" s="13">
        <v>1.105326728385033</v>
      </c>
      <c r="M35" s="13">
        <v>-0.1572026882239051</v>
      </c>
      <c r="N35" s="13">
        <v>8.323891</v>
      </c>
      <c r="O35" s="13">
        <v>1.6222384</v>
      </c>
      <c r="P35" s="15">
        <v>0.21484</v>
      </c>
      <c r="Q35" s="15">
        <v>0.316</v>
      </c>
      <c r="R35" s="15">
        <v>0.11139195129899</v>
      </c>
      <c r="S35" s="12">
        <v>67.76004581394062</v>
      </c>
      <c r="T35" s="10" t="s">
        <v>144</v>
      </c>
    </row>
    <row r="36" spans="1:20" x14ac:dyDescent="0.25">
      <c r="A36" s="12">
        <v>32</v>
      </c>
      <c r="B36" s="10" t="s">
        <v>178</v>
      </c>
      <c r="C36" s="10" t="s">
        <v>179</v>
      </c>
      <c r="D36" s="10" t="s">
        <v>63</v>
      </c>
      <c r="E36" s="11">
        <v>60.56999969482422</v>
      </c>
      <c r="F36" s="20">
        <v>0.3780238862053574</v>
      </c>
      <c r="G36" s="13">
        <v>0.5168176116343016</v>
      </c>
      <c r="H36" s="13">
        <v>0.6466031883132589</v>
      </c>
      <c r="I36" s="13">
        <v>0.1385921055892783</v>
      </c>
      <c r="J36" s="13">
        <v>-0.05231208098740892</v>
      </c>
      <c r="K36" s="13">
        <v>1.028391566798764</v>
      </c>
      <c r="L36" s="13">
        <v>0.3278286537666056</v>
      </c>
      <c r="M36" s="13">
        <v>0.5037239059563569</v>
      </c>
      <c r="N36" s="13">
        <v>13.54185</v>
      </c>
      <c r="O36" s="13">
        <v>5.62746</v>
      </c>
      <c r="P36" s="15">
        <v>0.46598998</v>
      </c>
      <c r="Q36" s="15">
        <v>0.057</v>
      </c>
      <c r="R36" s="15">
        <v>0.07463310640782184</v>
      </c>
      <c r="S36" s="12">
        <v>48.20377197796574</v>
      </c>
      <c r="T36" s="10" t="s">
        <v>144</v>
      </c>
    </row>
    <row r="37" spans="1:20" x14ac:dyDescent="0.25">
      <c r="A37" s="12">
        <v>33</v>
      </c>
      <c r="B37" s="10" t="s">
        <v>180</v>
      </c>
      <c r="C37" s="10" t="s">
        <v>181</v>
      </c>
      <c r="D37" s="10" t="s">
        <v>182</v>
      </c>
      <c r="E37" s="11">
        <v>30.95</v>
      </c>
      <c r="F37" s="20">
        <v>0.3700140075018752</v>
      </c>
      <c r="G37" s="13">
        <v>-0.05021563470955019</v>
      </c>
      <c r="H37" s="13">
        <v>-0.9896541892345164</v>
      </c>
      <c r="I37" s="13">
        <v>-1.15043072728334</v>
      </c>
      <c r="J37" s="13">
        <v>0.7744007339532235</v>
      </c>
      <c r="K37" s="13">
        <v>4.014594210784009</v>
      </c>
      <c r="L37" s="13">
        <v>0.3717273871094014</v>
      </c>
      <c r="M37" s="13">
        <v>-1.049182549389516</v>
      </c>
      <c r="N37" s="13">
        <v>497.26776</v>
      </c>
      <c r="O37" s="13">
        <v>2.3630948</v>
      </c>
      <c r="P37" s="15">
        <v>-0.08785999999999999</v>
      </c>
      <c r="Q37" s="15">
        <v>-0.112</v>
      </c>
      <c r="R37" s="15">
        <v>0.1308001461454147</v>
      </c>
      <c r="S37" s="12">
        <v>75.22299401348965</v>
      </c>
      <c r="T37" s="10" t="s">
        <v>144</v>
      </c>
    </row>
    <row r="38" spans="1:20" x14ac:dyDescent="0.25">
      <c r="A38" s="12">
        <v>34</v>
      </c>
      <c r="B38" s="10" t="s">
        <v>7</v>
      </c>
      <c r="C38" s="10" t="s">
        <v>56</v>
      </c>
      <c r="D38" s="10" t="s">
        <v>41</v>
      </c>
      <c r="E38" s="11">
        <v>215.3800048828125</v>
      </c>
      <c r="F38" s="20">
        <v>0.3637966276638292</v>
      </c>
      <c r="G38" s="13">
        <v>-1.126583686501829</v>
      </c>
      <c r="H38" s="13">
        <v>2.325282494008118</v>
      </c>
      <c r="I38" s="13">
        <v>2.336854265664632</v>
      </c>
      <c r="J38" s="13">
        <v>0.02978689568145348</v>
      </c>
      <c r="K38" s="13">
        <v>-0.2834901370651168</v>
      </c>
      <c r="L38" s="13">
        <v>-0.1656110996635191</v>
      </c>
      <c r="M38" s="13">
        <v>-0.05161900813018494</v>
      </c>
      <c r="N38" s="13">
        <v>26.67004</v>
      </c>
      <c r="O38" s="13">
        <v>22.246126</v>
      </c>
      <c r="P38" s="15">
        <v>1.17211</v>
      </c>
      <c r="Q38" s="15">
        <v>1.059</v>
      </c>
      <c r="R38" s="15">
        <v>0.03164784089967254</v>
      </c>
      <c r="S38" s="12">
        <v>43.88431764731212</v>
      </c>
      <c r="T38" s="10" t="s">
        <v>144</v>
      </c>
    </row>
    <row r="39" spans="1:20" x14ac:dyDescent="0.25">
      <c r="A39" s="12">
        <v>35</v>
      </c>
      <c r="B39" s="10" t="s">
        <v>183</v>
      </c>
      <c r="C39" s="10" t="s">
        <v>184</v>
      </c>
      <c r="D39" s="10" t="s">
        <v>61</v>
      </c>
      <c r="E39" s="11">
        <v>29.30999946594238</v>
      </c>
      <c r="F39" s="20">
        <v>0.3630805650422793</v>
      </c>
      <c r="G39" s="13">
        <v>0.4530665432986273</v>
      </c>
      <c r="H39" s="13">
        <v>-0.2818832205189815</v>
      </c>
      <c r="I39" s="13">
        <v>-0.6240651028176054</v>
      </c>
      <c r="J39" s="13">
        <v>0.1032162183108923</v>
      </c>
      <c r="K39" s="13">
        <v>2.456993051543953</v>
      </c>
      <c r="L39" s="13">
        <v>0.6807083718827478</v>
      </c>
      <c r="M39" s="13">
        <v>0.2798734852727116</v>
      </c>
      <c r="N39" s="13">
        <v>29.839808</v>
      </c>
      <c r="O39" s="13">
        <v>1.9590158</v>
      </c>
      <c r="P39" s="15">
        <v>0.07979</v>
      </c>
      <c r="Q39" s="15">
        <v>0.108</v>
      </c>
      <c r="R39" s="15">
        <v>0.1207553805353907</v>
      </c>
      <c r="S39" s="12">
        <v>45.04031570653972</v>
      </c>
      <c r="T39" s="10" t="s">
        <v>144</v>
      </c>
    </row>
    <row r="40" spans="1:20" x14ac:dyDescent="0.25">
      <c r="A40" s="12">
        <v>36</v>
      </c>
      <c r="B40" s="10" t="s">
        <v>185</v>
      </c>
      <c r="C40" s="10" t="s">
        <v>186</v>
      </c>
      <c r="D40" s="10" t="s">
        <v>187</v>
      </c>
      <c r="E40" s="11">
        <v>76.05000305175781</v>
      </c>
      <c r="F40" s="20">
        <v>0.3560703059917348</v>
      </c>
      <c r="G40" s="13">
        <v>0.4941580222703447</v>
      </c>
      <c r="H40" s="13">
        <v>1.246798411118428</v>
      </c>
      <c r="I40" s="13">
        <v>-0.605940340873116</v>
      </c>
      <c r="J40" s="13">
        <v>0.2400252725580473</v>
      </c>
      <c r="K40" s="13">
        <v>0</v>
      </c>
      <c r="L40" s="13">
        <v>0.3481013837577234</v>
      </c>
      <c r="M40" s="13">
        <v>-0.09242439025562288</v>
      </c>
      <c r="N40" s="13">
        <v>17.513824</v>
      </c>
      <c r="O40" s="13">
        <v>-41.064293</v>
      </c>
      <c r="P40" s="15">
        <v>58.625</v>
      </c>
      <c r="Q40" s="15">
        <v>-0.029</v>
      </c>
      <c r="R40" s="15">
        <v>0.07703130838001204</v>
      </c>
      <c r="S40" s="12">
        <v>63.98506759240516</v>
      </c>
      <c r="T40" s="10" t="s">
        <v>144</v>
      </c>
    </row>
    <row r="41" spans="1:20" x14ac:dyDescent="0.25">
      <c r="A41" s="12">
        <v>37</v>
      </c>
      <c r="B41" s="10" t="s">
        <v>188</v>
      </c>
      <c r="C41" s="10" t="s">
        <v>189</v>
      </c>
      <c r="D41" s="10" t="s">
        <v>68</v>
      </c>
      <c r="E41" s="11">
        <v>125.4599990844727</v>
      </c>
      <c r="F41" s="20">
        <v>0.3560364386172846</v>
      </c>
      <c r="G41" s="13">
        <v>0.5742268123435801</v>
      </c>
      <c r="H41" s="13">
        <v>-0.6958405593885079</v>
      </c>
      <c r="I41" s="13">
        <v>-0.5338869506337806</v>
      </c>
      <c r="J41" s="13">
        <v>0.3841516498358732</v>
      </c>
      <c r="K41" s="13">
        <v>2.14938779567967</v>
      </c>
      <c r="L41" s="13">
        <v>0.5131197322660315</v>
      </c>
      <c r="M41" s="13">
        <v>0.16799478240869</v>
      </c>
      <c r="N41" s="13">
        <v>60.73831</v>
      </c>
      <c r="O41" s="13">
        <v>2.4144592</v>
      </c>
      <c r="P41" s="15">
        <v>0.03931</v>
      </c>
      <c r="Q41" s="15">
        <v>0.05</v>
      </c>
      <c r="R41" s="15">
        <v>0.3227418008803911</v>
      </c>
      <c r="S41" s="12">
        <v>51.95270842838915</v>
      </c>
      <c r="T41" s="10" t="s">
        <v>144</v>
      </c>
    </row>
    <row r="42" spans="1:20" x14ac:dyDescent="0.25">
      <c r="A42" s="12">
        <v>38</v>
      </c>
      <c r="B42" s="10" t="s">
        <v>190</v>
      </c>
      <c r="C42" s="10" t="s">
        <v>191</v>
      </c>
      <c r="D42" s="10" t="s">
        <v>63</v>
      </c>
      <c r="E42" s="11">
        <v>414.4100036621094</v>
      </c>
      <c r="F42" s="20">
        <v>0.3512862315553852</v>
      </c>
      <c r="G42" s="13">
        <v>0.7411485454418807</v>
      </c>
      <c r="H42" s="13">
        <v>-0.780783225964825</v>
      </c>
      <c r="I42" s="13">
        <v>-0.5149076066876155</v>
      </c>
      <c r="J42" s="13">
        <v>0.2848582452585289</v>
      </c>
      <c r="K42" s="13">
        <v>2.314132903069435</v>
      </c>
      <c r="L42" s="13">
        <v>0.5137872111456334</v>
      </c>
      <c r="M42" s="13">
        <v>0.003936444804391481</v>
      </c>
      <c r="N42" s="13">
        <v>18.68153</v>
      </c>
      <c r="O42" s="13">
        <v>2.1279633</v>
      </c>
      <c r="P42" s="15">
        <v>0.114829995</v>
      </c>
      <c r="Q42" s="15">
        <v>0.014</v>
      </c>
      <c r="R42" s="15">
        <v>0.1095963828466633</v>
      </c>
      <c r="S42" s="12">
        <v>47.3591769470273</v>
      </c>
      <c r="T42" s="10" t="s">
        <v>144</v>
      </c>
    </row>
    <row r="43" spans="1:20" x14ac:dyDescent="0.25">
      <c r="A43" s="12">
        <v>39</v>
      </c>
      <c r="B43" s="10" t="s">
        <v>192</v>
      </c>
      <c r="C43" s="10" t="s">
        <v>193</v>
      </c>
      <c r="D43" s="10" t="s">
        <v>63</v>
      </c>
      <c r="E43" s="11">
        <v>317.8200073242188</v>
      </c>
      <c r="F43" s="20">
        <v>0.3457882978088334</v>
      </c>
      <c r="G43" s="13">
        <v>-1.021291175183828</v>
      </c>
      <c r="H43" s="13">
        <v>0.6541235795743103</v>
      </c>
      <c r="I43" s="13">
        <v>0.01236247217259448</v>
      </c>
      <c r="J43" s="13">
        <v>1.920464317853951</v>
      </c>
      <c r="K43" s="13">
        <v>-0.3071988425566327</v>
      </c>
      <c r="L43" s="13">
        <v>-0.868909591778108</v>
      </c>
      <c r="M43" s="13">
        <v>-0.7927021168741214</v>
      </c>
      <c r="N43" s="13">
        <v>52.95738</v>
      </c>
      <c r="O43" s="13">
        <v>7.0348434</v>
      </c>
      <c r="P43" s="15">
        <v>0.14425</v>
      </c>
      <c r="Q43" s="15">
        <v>0.176</v>
      </c>
      <c r="R43" s="15">
        <v>1.00872206340643</v>
      </c>
      <c r="S43" s="12">
        <v>67.08351685908124</v>
      </c>
      <c r="T43" s="10" t="s">
        <v>144</v>
      </c>
    </row>
    <row r="44" spans="1:20" x14ac:dyDescent="0.25">
      <c r="A44" s="12">
        <v>40</v>
      </c>
      <c r="B44" s="10" t="s">
        <v>194</v>
      </c>
      <c r="C44" s="10" t="s">
        <v>195</v>
      </c>
      <c r="D44" s="10" t="s">
        <v>48</v>
      </c>
      <c r="E44" s="11">
        <v>51.27000045776367</v>
      </c>
      <c r="F44" s="20">
        <v>0.3448096655146483</v>
      </c>
      <c r="G44" s="13">
        <v>0.3305809212180797</v>
      </c>
      <c r="H44" s="13">
        <v>-0.04147628379209739</v>
      </c>
      <c r="I44" s="13">
        <v>1.300467998097647</v>
      </c>
      <c r="J44" s="13">
        <v>0.5905769455983833</v>
      </c>
      <c r="K44" s="13">
        <v>0.02654678090086052</v>
      </c>
      <c r="L44" s="13">
        <v>-0.006925562463656366</v>
      </c>
      <c r="M44" s="13">
        <v>-0.2256082293429268</v>
      </c>
      <c r="N44" s="13">
        <v>11.196078</v>
      </c>
      <c r="O44" s="13">
        <v>1.4155074</v>
      </c>
      <c r="P44" s="15">
        <v>0.11522</v>
      </c>
      <c r="Q44" s="15">
        <v>0.642</v>
      </c>
      <c r="R44" s="15">
        <v>0.01740549892041687</v>
      </c>
      <c r="S44" s="12">
        <v>60.19204977310731</v>
      </c>
      <c r="T44" s="10" t="s">
        <v>144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196</v>
      </c>
    </row>
    <row r="2" spans="1:3" x14ac:dyDescent="0.25">
      <c r="A2" s="2" t="s">
        <v>197</v>
      </c>
    </row>
    <row r="4" spans="1:3" x14ac:dyDescent="0.25">
      <c r="A4" s="9" t="s">
        <v>198</v>
      </c>
    </row>
    <row r="5" spans="1:3" ht="30" customHeight="1" x14ac:dyDescent="0.25">
      <c r="A5" s="18" t="s">
        <v>199</v>
      </c>
      <c r="B5" s="18" t="s">
        <v>200</v>
      </c>
      <c r="C5" s="18" t="s">
        <v>201</v>
      </c>
    </row>
    <row r="6" spans="1:3" x14ac:dyDescent="0.25">
      <c r="A6" s="10" t="s">
        <v>202</v>
      </c>
      <c r="B6" s="15">
        <v>0.18</v>
      </c>
      <c r="C6" s="10" t="s">
        <v>203</v>
      </c>
    </row>
    <row r="7" spans="1:3" x14ac:dyDescent="0.25">
      <c r="A7" s="10" t="s">
        <v>204</v>
      </c>
      <c r="B7" s="15">
        <v>0.16</v>
      </c>
      <c r="C7" s="10" t="s">
        <v>205</v>
      </c>
    </row>
    <row r="8" spans="1:3" x14ac:dyDescent="0.25">
      <c r="A8" s="10" t="s">
        <v>206</v>
      </c>
      <c r="B8" s="15">
        <v>0.1</v>
      </c>
      <c r="C8" s="10" t="s">
        <v>207</v>
      </c>
    </row>
    <row r="9" spans="1:3" x14ac:dyDescent="0.25">
      <c r="A9" s="10" t="s">
        <v>208</v>
      </c>
      <c r="B9" s="15">
        <v>0.3</v>
      </c>
      <c r="C9" s="10" t="s">
        <v>209</v>
      </c>
    </row>
    <row r="10" spans="1:3" x14ac:dyDescent="0.25">
      <c r="A10" s="10" t="s">
        <v>210</v>
      </c>
      <c r="B10" s="15">
        <v>0.12</v>
      </c>
      <c r="C10" s="10" t="s">
        <v>211</v>
      </c>
    </row>
    <row r="11" spans="1:3" x14ac:dyDescent="0.25">
      <c r="A11" s="10" t="s">
        <v>212</v>
      </c>
      <c r="B11" s="15">
        <v>0.06</v>
      </c>
      <c r="C11" s="10" t="s">
        <v>213</v>
      </c>
    </row>
    <row r="12" spans="1:3" x14ac:dyDescent="0.25">
      <c r="A12" s="10" t="s">
        <v>214</v>
      </c>
      <c r="B12" s="15">
        <v>0.08</v>
      </c>
      <c r="C12" s="10" t="s">
        <v>215</v>
      </c>
    </row>
    <row r="13" spans="1:3" x14ac:dyDescent="0.25">
      <c r="A13" s="16" t="s">
        <v>216</v>
      </c>
      <c r="B13" s="15">
        <f>SUM(B6:B12)</f>
        <v>0.9999999999999999</v>
      </c>
    </row>
    <row r="15" spans="1:3" x14ac:dyDescent="0.25">
      <c r="A15" s="9" t="s">
        <v>217</v>
      </c>
    </row>
    <row r="16" spans="1:3" x14ac:dyDescent="0.25">
      <c r="A16" s="17" t="s">
        <v>218</v>
      </c>
    </row>
    <row r="18" spans="1:7" x14ac:dyDescent="0.25">
      <c r="A18" s="9" t="s">
        <v>219</v>
      </c>
    </row>
    <row r="19" spans="1:7" x14ac:dyDescent="0.25">
      <c r="A19" s="17" t="s">
        <v>220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247</v>
      </c>
    </row>
    <row r="3" spans="1:2">
      <c r="A3" s="9" t="s">
        <v>248</v>
      </c>
    </row>
    <row r="4" spans="1:2">
      <c r="A4" s="10" t="s">
        <v>249</v>
      </c>
      <c r="B4" s="10" t="s">
        <v>250</v>
      </c>
    </row>
    <row r="5" spans="1:2">
      <c r="A5" s="10" t="s">
        <v>251</v>
      </c>
      <c r="B5" s="10" t="s">
        <v>81</v>
      </c>
    </row>
    <row r="6" spans="1:2">
      <c r="A6" s="10" t="s">
        <v>252</v>
      </c>
      <c r="B6" s="10" t="s">
        <v>253</v>
      </c>
    </row>
    <row r="7" spans="1:2">
      <c r="A7" s="10" t="s">
        <v>254</v>
      </c>
      <c r="B7" s="10" t="s">
        <v>255</v>
      </c>
    </row>
    <row r="8" spans="1:2">
      <c r="A8" s="10" t="s">
        <v>256</v>
      </c>
      <c r="B8" s="10" t="s">
        <v>145</v>
      </c>
    </row>
    <row r="9" spans="1:2">
      <c r="A9" s="10" t="s">
        <v>257</v>
      </c>
      <c r="B9" s="10" t="s">
        <v>44</v>
      </c>
    </row>
    <row r="10" spans="1:2">
      <c r="A10" s="10" t="s">
        <v>258</v>
      </c>
      <c r="B10" s="10" t="s">
        <v>259</v>
      </c>
    </row>
    <row r="11" spans="1:2">
      <c r="A11" s="10" t="s">
        <v>260</v>
      </c>
      <c r="B11" s="10" t="s">
        <v>261</v>
      </c>
    </row>
    <row r="12" spans="1:2">
      <c r="A12" s="10" t="s">
        <v>262</v>
      </c>
      <c r="B12" s="10" t="s">
        <v>263</v>
      </c>
    </row>
    <row r="13" spans="1:2">
      <c r="A13" s="10" t="s">
        <v>264</v>
      </c>
      <c r="B13" s="10" t="s">
        <v>265</v>
      </c>
    </row>
    <row r="14" spans="1:2">
      <c r="A14" s="10" t="s">
        <v>266</v>
      </c>
      <c r="B14" s="10" t="s">
        <v>261</v>
      </c>
    </row>
    <row r="16" spans="1:2">
      <c r="A16" s="9" t="s">
        <v>267</v>
      </c>
    </row>
    <row r="17" spans="1:2" ht="30" customHeight="1">
      <c r="A17" s="16" t="s">
        <v>268</v>
      </c>
      <c r="B17" s="17" t="s">
        <v>269</v>
      </c>
    </row>
    <row r="18" spans="1:2" ht="30" customHeight="1">
      <c r="A18" s="16" t="s">
        <v>270</v>
      </c>
      <c r="B18" s="17" t="s">
        <v>271</v>
      </c>
    </row>
    <row r="19" spans="1:2" ht="30" customHeight="1">
      <c r="A19" s="16" t="s">
        <v>272</v>
      </c>
      <c r="B19" s="17" t="s">
        <v>273</v>
      </c>
    </row>
    <row r="20" spans="1:2" ht="30" customHeight="1">
      <c r="A20" s="16" t="s">
        <v>274</v>
      </c>
      <c r="B20" s="17" t="s">
        <v>275</v>
      </c>
    </row>
    <row r="22" spans="1:2">
      <c r="A22" s="9" t="s">
        <v>276</v>
      </c>
    </row>
    <row r="23" spans="1:2" ht="32.25" customHeight="1">
      <c r="A23" s="26" t="s">
        <v>277</v>
      </c>
      <c r="B23" s="26"/>
    </row>
    <row r="24" spans="1:2" ht="32.25" customHeight="1">
      <c r="A24" s="26" t="s">
        <v>278</v>
      </c>
      <c r="B24" s="26"/>
    </row>
    <row r="25" spans="1:2" ht="32.25" customHeight="1">
      <c r="A25" s="26" t="s">
        <v>279</v>
      </c>
      <c r="B25" s="26"/>
    </row>
    <row r="26" spans="1:2" ht="32.25" customHeight="1">
      <c r="A26" s="26" t="s">
        <v>280</v>
      </c>
      <c r="B26" s="26"/>
    </row>
    <row r="27" spans="1:2" ht="32.25" customHeight="1">
      <c r="A27" s="26" t="s">
        <v>281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1350.5</v>
      </c>
      <c r="C1">
        <v>1258.579956054688</v>
      </c>
      <c r="D1">
        <v>1212.2099609375</v>
      </c>
      <c r="E1">
        <v>1237.920043945312</v>
      </c>
      <c r="F1">
        <v>1271.050048828125</v>
      </c>
      <c r="G1">
        <v>1344.2900390625</v>
      </c>
      <c r="H1">
        <v>1528.109985351562</v>
      </c>
      <c r="I1">
        <v>1641.109985351562</v>
      </c>
      <c r="J1">
        <v>1786.849975585938</v>
      </c>
      <c r="K1">
        <v>1625.780029296875</v>
      </c>
      <c r="L1">
        <v>1568.869995117188</v>
      </c>
      <c r="M1">
        <v>1600.619995117188</v>
      </c>
      <c r="N1">
        <v>1596.079956054688</v>
      </c>
      <c r="O1">
        <v>1493.119995117188</v>
      </c>
      <c r="P1">
        <v>1480.77001953125</v>
      </c>
      <c r="Q1">
        <v>1499.369995117188</v>
      </c>
      <c r="R1">
        <v>1484.949951171875</v>
      </c>
      <c r="S1">
        <v>1484.97998046875</v>
      </c>
      <c r="T1">
        <v>1566.699951171875</v>
      </c>
      <c r="U1">
        <v>1536.869995117188</v>
      </c>
      <c r="V1">
        <v>1553.400024414062</v>
      </c>
      <c r="W1">
        <v>1554.989990234375</v>
      </c>
      <c r="X1">
        <v>1740</v>
      </c>
      <c r="Y1">
        <v>1737.989990234375</v>
      </c>
      <c r="Z1">
        <v>1764.170043945312</v>
      </c>
      <c r="AA1">
        <v>1692.589965820312</v>
      </c>
      <c r="AB1">
        <v>1633.349975585938</v>
      </c>
      <c r="AC1">
        <v>1551.989990234375</v>
      </c>
      <c r="AD1">
        <v>1530.89501953125</v>
      </c>
      <c r="AE1">
        <v>1519.969970703125</v>
      </c>
      <c r="AF1">
        <v>1614.390014648438</v>
      </c>
      <c r="AG1">
        <v>1791.819946289062</v>
      </c>
      <c r="AH1">
        <v>1766.640014648438</v>
      </c>
      <c r="AI1">
        <v>1887.0400390625</v>
      </c>
      <c r="AJ1">
        <v>1816.569946289062</v>
      </c>
      <c r="AK1">
        <v>1753.619995117188</v>
      </c>
      <c r="AL1">
        <v>1777.800048828125</v>
      </c>
      <c r="AM1">
        <v>1712.890014648438</v>
      </c>
      <c r="AN1">
        <v>1729.760009765625</v>
      </c>
      <c r="AO1">
        <v>1739.890014648438</v>
      </c>
      <c r="AP1">
        <v>1787.68994140625</v>
      </c>
      <c r="AQ1">
        <v>1719.989990234375</v>
      </c>
      <c r="AR1">
        <v>1704.160034179688</v>
      </c>
      <c r="AS1">
        <v>1660.4599609375</v>
      </c>
      <c r="AT1">
        <v>1692.420043945312</v>
      </c>
      <c r="AU1">
        <v>1609.4599609375</v>
      </c>
      <c r="AV1">
        <v>1581.819946289062</v>
      </c>
      <c r="AW1">
        <v>1487.329956054688</v>
      </c>
      <c r="AX1">
        <v>1482.329956054688</v>
      </c>
      <c r="AY1">
        <v>1403.339965820312</v>
      </c>
      <c r="AZ1">
        <v>1394.829956054688</v>
      </c>
      <c r="BA1">
        <v>1299.300048828125</v>
      </c>
      <c r="BB1">
        <v>1371.119995117188</v>
      </c>
      <c r="BC1">
        <v>1365.380004882812</v>
      </c>
      <c r="BD1">
        <v>1378.219970703125</v>
      </c>
      <c r="BE1">
        <v>1260.930053710938</v>
      </c>
      <c r="BF1">
        <v>1238.030029296875</v>
      </c>
      <c r="BG1">
        <v>1255.579956054688</v>
      </c>
      <c r="BH1">
        <v>1304.839965820312</v>
      </c>
      <c r="BI1">
        <v>1404.77001953125</v>
      </c>
    </row>
    <row r="2" spans="1:61">
      <c r="A2" t="s">
        <v>1</v>
      </c>
      <c r="B2">
        <v>519.0033569335938</v>
      </c>
      <c r="C2">
        <v>451.3750915527344</v>
      </c>
      <c r="D2">
        <v>434.1606140136719</v>
      </c>
      <c r="E2">
        <v>438.1993408203125</v>
      </c>
      <c r="F2">
        <v>437.7894592285156</v>
      </c>
      <c r="G2">
        <v>453.9542846679688</v>
      </c>
      <c r="H2">
        <v>487.1336364746094</v>
      </c>
      <c r="I2">
        <v>508.63671875</v>
      </c>
      <c r="J2">
        <v>535.8380126953125</v>
      </c>
      <c r="K2">
        <v>496.0007934570312</v>
      </c>
      <c r="L2">
        <v>461.9417114257812</v>
      </c>
      <c r="M2">
        <v>468.8994750976562</v>
      </c>
      <c r="N2">
        <v>459.2925720214844</v>
      </c>
      <c r="O2">
        <v>435.2402954101562</v>
      </c>
      <c r="P2">
        <v>450.6053466796875</v>
      </c>
      <c r="Q2">
        <v>468.7295227050781</v>
      </c>
      <c r="R2">
        <v>461.8517456054688</v>
      </c>
      <c r="S2">
        <v>459.3025817871094</v>
      </c>
      <c r="T2">
        <v>450.4053955078125</v>
      </c>
      <c r="U2">
        <v>450.2954406738281</v>
      </c>
      <c r="V2">
        <v>448.7559509277344</v>
      </c>
      <c r="W2">
        <v>441.4283142089844</v>
      </c>
      <c r="X2">
        <v>467.3099670410156</v>
      </c>
      <c r="Y2">
        <v>477.2999877929688</v>
      </c>
      <c r="Z2">
        <v>482.2799987792969</v>
      </c>
      <c r="AA2">
        <v>460.9299926757812</v>
      </c>
      <c r="AB2">
        <v>447.1799926757812</v>
      </c>
      <c r="AC2">
        <v>426.9400024414062</v>
      </c>
      <c r="AD2">
        <v>411.9599914550781</v>
      </c>
      <c r="AE2">
        <v>416.9700012207031</v>
      </c>
      <c r="AF2">
        <v>423.8699951171875</v>
      </c>
      <c r="AG2">
        <v>441.3599853515625</v>
      </c>
      <c r="AH2">
        <v>448.1700134277344</v>
      </c>
      <c r="AI2">
        <v>464.6000061035156</v>
      </c>
      <c r="AJ2">
        <v>473.6900024414062</v>
      </c>
      <c r="AK2">
        <v>450.3099975585938</v>
      </c>
      <c r="AL2">
        <v>456.8099975585938</v>
      </c>
      <c r="AM2">
        <v>453.2300109863281</v>
      </c>
      <c r="AN2">
        <v>453.4800109863281</v>
      </c>
      <c r="AO2">
        <v>454.4599914550781</v>
      </c>
      <c r="AP2">
        <v>462.5599975585938</v>
      </c>
      <c r="AQ2">
        <v>415.2900085449219</v>
      </c>
      <c r="AR2">
        <v>441.6400146484375</v>
      </c>
      <c r="AS2">
        <v>411.0400085449219</v>
      </c>
      <c r="AT2">
        <v>405.4200134277344</v>
      </c>
      <c r="AU2">
        <v>393.3099975585938</v>
      </c>
      <c r="AV2">
        <v>397.2799987792969</v>
      </c>
      <c r="AW2">
        <v>386.9400024414062</v>
      </c>
      <c r="AX2">
        <v>380.7099914550781</v>
      </c>
      <c r="AY2">
        <v>364.1000061035156</v>
      </c>
      <c r="AZ2">
        <v>356.4500122070312</v>
      </c>
      <c r="BA2">
        <v>332</v>
      </c>
      <c r="BB2">
        <v>352.2099914550781</v>
      </c>
      <c r="BC2">
        <v>364.3200073242188</v>
      </c>
      <c r="BD2">
        <v>378.510009765625</v>
      </c>
      <c r="BE2">
        <v>354.1900024414062</v>
      </c>
      <c r="BF2">
        <v>343.6700134277344</v>
      </c>
      <c r="BG2">
        <v>356.1300048828125</v>
      </c>
      <c r="BH2">
        <v>380.8800048828125</v>
      </c>
      <c r="BI2">
        <v>396.4200134277344</v>
      </c>
    </row>
    <row r="3" spans="1:61">
      <c r="A3" t="s">
        <v>2</v>
      </c>
      <c r="B3">
        <v>302.3900146484375</v>
      </c>
      <c r="C3">
        <v>302.989990234375</v>
      </c>
      <c r="D3">
        <v>298.3099975585938</v>
      </c>
      <c r="E3">
        <v>314.9500122070312</v>
      </c>
      <c r="F3">
        <v>323.9200134277344</v>
      </c>
      <c r="G3">
        <v>330.2099914550781</v>
      </c>
      <c r="H3">
        <v>342.9200134277344</v>
      </c>
      <c r="I3">
        <v>341.6700134277344</v>
      </c>
      <c r="J3">
        <v>347.1900024414062</v>
      </c>
      <c r="K3">
        <v>350.0499877929688</v>
      </c>
      <c r="L3">
        <v>346.260009765625</v>
      </c>
      <c r="M3">
        <v>341.510009765625</v>
      </c>
      <c r="N3">
        <v>348.8599853515625</v>
      </c>
      <c r="O3">
        <v>346</v>
      </c>
      <c r="P3">
        <v>340.4100036621094</v>
      </c>
      <c r="Q3">
        <v>348.0299987792969</v>
      </c>
      <c r="R3">
        <v>346.5899963378906</v>
      </c>
      <c r="S3">
        <v>352.3599853515625</v>
      </c>
      <c r="T3">
        <v>358.9200134277344</v>
      </c>
      <c r="U3">
        <v>361.989990234375</v>
      </c>
      <c r="V3">
        <v>366.0899963378906</v>
      </c>
      <c r="W3">
        <v>370.6900024414062</v>
      </c>
      <c r="X3">
        <v>370.7200012207031</v>
      </c>
      <c r="Y3">
        <v>382.8500061035156</v>
      </c>
      <c r="Z3">
        <v>388.9500122070312</v>
      </c>
      <c r="AA3">
        <v>385.4299926757812</v>
      </c>
      <c r="AB3">
        <v>390.4200134277344</v>
      </c>
      <c r="AC3">
        <v>382.9500122070312</v>
      </c>
      <c r="AD3">
        <v>397.0400085449219</v>
      </c>
      <c r="AE3">
        <v>403.2799987792969</v>
      </c>
      <c r="AF3">
        <v>412.5299987792969</v>
      </c>
      <c r="AG3">
        <v>413.2799987792969</v>
      </c>
      <c r="AH3">
        <v>393.2699890136719</v>
      </c>
      <c r="AI3">
        <v>377.1400146484375</v>
      </c>
      <c r="AJ3">
        <v>375.8399963378906</v>
      </c>
      <c r="AK3">
        <v>382.8599853515625</v>
      </c>
      <c r="AL3">
        <v>387.1799926757812</v>
      </c>
      <c r="AM3">
        <v>389.5700073242188</v>
      </c>
      <c r="AN3">
        <v>387.7200012207031</v>
      </c>
      <c r="AO3">
        <v>387.6099853515625</v>
      </c>
      <c r="AP3">
        <v>408.4599914550781</v>
      </c>
      <c r="AQ3">
        <v>406.2999877929688</v>
      </c>
      <c r="AR3">
        <v>419.3299865722656</v>
      </c>
      <c r="AS3">
        <v>419.2200012207031</v>
      </c>
      <c r="AT3">
        <v>424.1000061035156</v>
      </c>
      <c r="AU3">
        <v>443.7999877929688</v>
      </c>
      <c r="AV3">
        <v>433.75</v>
      </c>
      <c r="AW3">
        <v>436</v>
      </c>
      <c r="AX3">
        <v>456.4599914550781</v>
      </c>
      <c r="AY3">
        <v>459.7799987792969</v>
      </c>
      <c r="AZ3">
        <v>444.0599975585938</v>
      </c>
      <c r="BA3">
        <v>444.7099914550781</v>
      </c>
      <c r="BB3">
        <v>433.3099975585938</v>
      </c>
      <c r="BC3">
        <v>433.4200134277344</v>
      </c>
      <c r="BD3">
        <v>436.75</v>
      </c>
      <c r="BE3">
        <v>426.2799987792969</v>
      </c>
      <c r="BF3">
        <v>419.2799987792969</v>
      </c>
      <c r="BG3">
        <v>426.760009765625</v>
      </c>
      <c r="BH3">
        <v>387.3399963378906</v>
      </c>
      <c r="BI3">
        <v>388.4800109863281</v>
      </c>
    </row>
    <row r="4" spans="1:61">
      <c r="A4" t="s">
        <v>3</v>
      </c>
      <c r="B4">
        <v>296.9369506835938</v>
      </c>
      <c r="C4">
        <v>298.432861328125</v>
      </c>
      <c r="D4">
        <v>297.3857421875</v>
      </c>
      <c r="E4">
        <v>319.4453125</v>
      </c>
      <c r="F4">
        <v>335.5013732910156</v>
      </c>
      <c r="G4">
        <v>347.2990417480469</v>
      </c>
      <c r="H4">
        <v>355.3968811035156</v>
      </c>
      <c r="I4">
        <v>354.4494934082031</v>
      </c>
      <c r="J4">
        <v>357.2019348144531</v>
      </c>
      <c r="K4">
        <v>365.2099914550781</v>
      </c>
      <c r="L4">
        <v>360.75</v>
      </c>
      <c r="M4">
        <v>358.2300109863281</v>
      </c>
      <c r="N4">
        <v>360.7200012207031</v>
      </c>
      <c r="O4">
        <v>362.5199890136719</v>
      </c>
      <c r="P4">
        <v>354.8800048828125</v>
      </c>
      <c r="Q4">
        <v>362.2699890136719</v>
      </c>
      <c r="R4">
        <v>363.5400085449219</v>
      </c>
      <c r="S4">
        <v>368.8299865722656</v>
      </c>
      <c r="T4">
        <v>373.3200073242188</v>
      </c>
      <c r="U4">
        <v>383</v>
      </c>
      <c r="V4">
        <v>387</v>
      </c>
      <c r="W4">
        <v>387.7099914550781</v>
      </c>
      <c r="X4">
        <v>388.8999938964844</v>
      </c>
      <c r="Y4">
        <v>397.7699890136719</v>
      </c>
      <c r="Z4">
        <v>399.4400024414062</v>
      </c>
      <c r="AA4">
        <v>392.4200134277344</v>
      </c>
      <c r="AB4">
        <v>395.9299926757812</v>
      </c>
      <c r="AC4">
        <v>396.4500122070312</v>
      </c>
      <c r="AD4">
        <v>410.8399963378906</v>
      </c>
      <c r="AE4">
        <v>413.9200134277344</v>
      </c>
      <c r="AF4">
        <v>421.9599914550781</v>
      </c>
      <c r="AG4">
        <v>424.8900146484375</v>
      </c>
      <c r="AH4">
        <v>402.3800048828125</v>
      </c>
      <c r="AI4">
        <v>389.6799926757812</v>
      </c>
      <c r="AJ4">
        <v>388.3800048828125</v>
      </c>
      <c r="AK4">
        <v>390.9500122070312</v>
      </c>
      <c r="AL4">
        <v>393.5199890136719</v>
      </c>
      <c r="AM4">
        <v>389.4400024414062</v>
      </c>
      <c r="AN4">
        <v>392.0299987792969</v>
      </c>
      <c r="AO4">
        <v>395.4200134277344</v>
      </c>
      <c r="AP4">
        <v>420.1499938964844</v>
      </c>
      <c r="AQ4">
        <v>422.3299865722656</v>
      </c>
      <c r="AR4">
        <v>433.4700012207031</v>
      </c>
      <c r="AS4">
        <v>432.3599853515625</v>
      </c>
      <c r="AT4">
        <v>442.260009765625</v>
      </c>
      <c r="AU4">
        <v>463.3399963378906</v>
      </c>
      <c r="AV4">
        <v>455.0299987792969</v>
      </c>
      <c r="AW4">
        <v>458.8099975585938</v>
      </c>
      <c r="AX4">
        <v>476.9800109863281</v>
      </c>
      <c r="AY4">
        <v>484.9200134277344</v>
      </c>
      <c r="AZ4">
        <v>476.9200134277344</v>
      </c>
      <c r="BA4">
        <v>478.0700073242188</v>
      </c>
      <c r="BB4">
        <v>473.6900024414062</v>
      </c>
      <c r="BC4">
        <v>475.0400085449219</v>
      </c>
      <c r="BD4">
        <v>467.9800109863281</v>
      </c>
      <c r="BE4">
        <v>459.2799987792969</v>
      </c>
      <c r="BF4">
        <v>457.2200012207031</v>
      </c>
      <c r="BG4">
        <v>470.6400146484375</v>
      </c>
      <c r="BH4">
        <v>435.9800109863281</v>
      </c>
      <c r="BI4">
        <v>440.7699890136719</v>
      </c>
    </row>
    <row r="5" spans="1:61">
      <c r="A5" t="s">
        <v>4</v>
      </c>
      <c r="B5">
        <v>53.56421279907227</v>
      </c>
      <c r="C5">
        <v>55.78402709960938</v>
      </c>
      <c r="D5">
        <v>55.65462112426758</v>
      </c>
      <c r="E5">
        <v>58.38210678100586</v>
      </c>
      <c r="F5">
        <v>58.79023361206055</v>
      </c>
      <c r="G5">
        <v>58.28256225585938</v>
      </c>
      <c r="H5">
        <v>57.43644714355469</v>
      </c>
      <c r="I5">
        <v>58.09342956542969</v>
      </c>
      <c r="J5">
        <v>58.77032470703125</v>
      </c>
      <c r="K5">
        <v>59.52685165405273</v>
      </c>
      <c r="L5">
        <v>59.81552886962891</v>
      </c>
      <c r="M5">
        <v>61.23899841308594</v>
      </c>
      <c r="N5">
        <v>61.02000045776367</v>
      </c>
      <c r="O5">
        <v>59.8354377746582</v>
      </c>
      <c r="P5">
        <v>58.1431999206543</v>
      </c>
      <c r="Q5">
        <v>58.35224151611328</v>
      </c>
      <c r="R5">
        <v>58.89972686767578</v>
      </c>
      <c r="S5">
        <v>58.83004760742188</v>
      </c>
      <c r="T5">
        <v>59.90511703491211</v>
      </c>
      <c r="U5">
        <v>60.67160034179688</v>
      </c>
      <c r="V5">
        <v>60.63178253173828</v>
      </c>
      <c r="W5">
        <v>60.33315277099609</v>
      </c>
      <c r="X5">
        <v>59.7657585144043</v>
      </c>
      <c r="Y5">
        <v>60.37297058105469</v>
      </c>
      <c r="Z5">
        <v>61.02000045776367</v>
      </c>
      <c r="AA5">
        <v>61.15999984741211</v>
      </c>
      <c r="AB5">
        <v>61.45999908447266</v>
      </c>
      <c r="AC5">
        <v>61.77999877929688</v>
      </c>
      <c r="AD5">
        <v>63.52000045776367</v>
      </c>
      <c r="AE5">
        <v>59.36000061035156</v>
      </c>
      <c r="AF5">
        <v>59.29000091552734</v>
      </c>
      <c r="AG5">
        <v>58.84000015258789</v>
      </c>
      <c r="AH5">
        <v>57.25</v>
      </c>
      <c r="AI5">
        <v>56.31000137329102</v>
      </c>
      <c r="AJ5">
        <v>57.36000061035156</v>
      </c>
      <c r="AK5">
        <v>58.04999923706055</v>
      </c>
      <c r="AL5">
        <v>56.86000061035156</v>
      </c>
      <c r="AM5">
        <v>56.09999847412109</v>
      </c>
      <c r="AN5">
        <v>54.93999862670898</v>
      </c>
      <c r="AO5">
        <v>55.31999969482422</v>
      </c>
      <c r="AP5">
        <v>57.84000015258789</v>
      </c>
      <c r="AQ5">
        <v>58.08000183105469</v>
      </c>
      <c r="AR5">
        <v>58.31000137329102</v>
      </c>
      <c r="AS5">
        <v>58.33000183105469</v>
      </c>
      <c r="AT5">
        <v>58.20999908447266</v>
      </c>
      <c r="AU5">
        <v>60.27999877929688</v>
      </c>
      <c r="AV5">
        <v>60.11000061035156</v>
      </c>
      <c r="AW5">
        <v>61.13000106811523</v>
      </c>
      <c r="AX5">
        <v>61.65000152587891</v>
      </c>
      <c r="AY5">
        <v>61.40999984741211</v>
      </c>
      <c r="AZ5">
        <v>60.66999816894531</v>
      </c>
      <c r="BA5">
        <v>62.38000106811523</v>
      </c>
      <c r="BB5">
        <v>62.72000122070312</v>
      </c>
      <c r="BC5">
        <v>62.91999816894531</v>
      </c>
      <c r="BD5">
        <v>62.70000076293945</v>
      </c>
      <c r="BE5">
        <v>62.5</v>
      </c>
      <c r="BF5">
        <v>64.16999816894531</v>
      </c>
      <c r="BG5">
        <v>64.06999969482422</v>
      </c>
      <c r="BH5">
        <v>62.72999954223633</v>
      </c>
      <c r="BI5">
        <v>62.86000061035156</v>
      </c>
    </row>
    <row r="6" spans="1:61">
      <c r="A6" t="s">
        <v>5</v>
      </c>
      <c r="B6">
        <v>201.4806365966797</v>
      </c>
      <c r="C6">
        <v>204.4349517822266</v>
      </c>
      <c r="D6">
        <v>202.8334503173828</v>
      </c>
      <c r="E6">
        <v>214.3821563720703</v>
      </c>
      <c r="F6">
        <v>223.1754760742188</v>
      </c>
      <c r="G6">
        <v>224.3890380859375</v>
      </c>
      <c r="H6">
        <v>231.3819274902344</v>
      </c>
      <c r="I6">
        <v>232.3766479492188</v>
      </c>
      <c r="J6">
        <v>239.2800140380859</v>
      </c>
      <c r="K6">
        <v>243.4900054931641</v>
      </c>
      <c r="L6">
        <v>242.2899932861328</v>
      </c>
      <c r="M6">
        <v>240</v>
      </c>
      <c r="N6">
        <v>242.8699951171875</v>
      </c>
      <c r="O6">
        <v>241.9600067138672</v>
      </c>
      <c r="P6">
        <v>236.8999938964844</v>
      </c>
      <c r="Q6">
        <v>242.2299957275391</v>
      </c>
      <c r="R6">
        <v>239.8099975585938</v>
      </c>
      <c r="S6">
        <v>244.0099945068359</v>
      </c>
      <c r="T6">
        <v>246.5800018310547</v>
      </c>
      <c r="U6">
        <v>252.0200042724609</v>
      </c>
      <c r="V6">
        <v>256.0899963378906</v>
      </c>
      <c r="W6">
        <v>254.6600036621094</v>
      </c>
      <c r="X6">
        <v>255.0899963378906</v>
      </c>
      <c r="Y6">
        <v>259.1400146484375</v>
      </c>
      <c r="Z6">
        <v>260.7799987792969</v>
      </c>
      <c r="AA6">
        <v>258.510009765625</v>
      </c>
      <c r="AB6">
        <v>259.4700012207031</v>
      </c>
      <c r="AC6">
        <v>257.0599975585938</v>
      </c>
      <c r="AD6">
        <v>264.9299926757812</v>
      </c>
      <c r="AE6">
        <v>264.6300048828125</v>
      </c>
      <c r="AF6">
        <v>274.2099914550781</v>
      </c>
      <c r="AG6">
        <v>273.1300048828125</v>
      </c>
      <c r="AH6">
        <v>261.75</v>
      </c>
      <c r="AI6">
        <v>256.7799987792969</v>
      </c>
      <c r="AJ6">
        <v>256.4800109863281</v>
      </c>
      <c r="AK6">
        <v>255.8699951171875</v>
      </c>
      <c r="AL6">
        <v>255.75</v>
      </c>
      <c r="AM6">
        <v>253.5500030517578</v>
      </c>
      <c r="AN6">
        <v>252.25</v>
      </c>
      <c r="AO6">
        <v>255.3099975585938</v>
      </c>
      <c r="AP6">
        <v>264.2300109863281</v>
      </c>
      <c r="AQ6">
        <v>264.5799865722656</v>
      </c>
      <c r="AR6">
        <v>269.7200012207031</v>
      </c>
      <c r="AS6">
        <v>269.7900085449219</v>
      </c>
      <c r="AT6">
        <v>271.6199951171875</v>
      </c>
      <c r="AU6">
        <v>281.6000061035156</v>
      </c>
      <c r="AV6">
        <v>278.1799926757812</v>
      </c>
      <c r="AW6">
        <v>281.4700012207031</v>
      </c>
      <c r="AX6">
        <v>292.7300109863281</v>
      </c>
      <c r="AY6">
        <v>297.2900085449219</v>
      </c>
      <c r="AZ6">
        <v>289.2000122070312</v>
      </c>
      <c r="BA6">
        <v>293.1700134277344</v>
      </c>
      <c r="BB6">
        <v>290.5499877929688</v>
      </c>
      <c r="BC6">
        <v>291.0299987792969</v>
      </c>
      <c r="BD6">
        <v>290.0700073242188</v>
      </c>
      <c r="BE6">
        <v>284.6300048828125</v>
      </c>
      <c r="BF6">
        <v>283.1799926757812</v>
      </c>
      <c r="BG6">
        <v>288.8500061035156</v>
      </c>
      <c r="BH6">
        <v>268.5299987792969</v>
      </c>
      <c r="BI6">
        <v>273.760009765625</v>
      </c>
    </row>
    <row r="7" spans="1:61">
      <c r="A7" t="s">
        <v>6</v>
      </c>
      <c r="B7">
        <v>34.48540878295898</v>
      </c>
      <c r="C7">
        <v>36.34598922729492</v>
      </c>
      <c r="D7">
        <v>37.44044876098633</v>
      </c>
      <c r="E7">
        <v>40.81337356567383</v>
      </c>
      <c r="F7">
        <v>40.41538619995117</v>
      </c>
      <c r="G7">
        <v>39.76866149902344</v>
      </c>
      <c r="H7">
        <v>39.79851150512695</v>
      </c>
      <c r="I7">
        <v>40.26614379882812</v>
      </c>
      <c r="J7">
        <v>41.37055206298828</v>
      </c>
      <c r="K7">
        <v>42.15657043457031</v>
      </c>
      <c r="L7">
        <v>43.23113250732422</v>
      </c>
      <c r="M7">
        <v>44.16639709472656</v>
      </c>
      <c r="N7">
        <v>43.17143249511719</v>
      </c>
      <c r="O7">
        <v>42.74359893798828</v>
      </c>
      <c r="P7">
        <v>41.14170837402344</v>
      </c>
      <c r="Q7">
        <v>40.98251342773438</v>
      </c>
      <c r="R7">
        <v>42.16652297973633</v>
      </c>
      <c r="S7">
        <v>42.32571792602539</v>
      </c>
      <c r="T7">
        <v>42.93264389038086</v>
      </c>
      <c r="U7">
        <v>44.07685089111328</v>
      </c>
      <c r="V7">
        <v>44.47483444213867</v>
      </c>
      <c r="W7">
        <v>43.95745468139648</v>
      </c>
      <c r="X7">
        <v>42.55455780029297</v>
      </c>
      <c r="Y7">
        <v>43.33062744140625</v>
      </c>
      <c r="Z7">
        <v>44.61412811279297</v>
      </c>
      <c r="AA7">
        <v>44.30569076538086</v>
      </c>
      <c r="AB7">
        <v>44.50468444824219</v>
      </c>
      <c r="AC7">
        <v>44.80317306518555</v>
      </c>
      <c r="AD7">
        <v>47.17118453979492</v>
      </c>
      <c r="AE7">
        <v>44.56438446044922</v>
      </c>
      <c r="AF7">
        <v>45.23100662231445</v>
      </c>
      <c r="AG7">
        <v>44.64397811889648</v>
      </c>
      <c r="AH7">
        <v>43.58932113647461</v>
      </c>
      <c r="AI7">
        <v>42.0869255065918</v>
      </c>
      <c r="AJ7">
        <v>43.47987365722656</v>
      </c>
      <c r="AK7">
        <v>43.4599723815918</v>
      </c>
      <c r="AL7">
        <v>42.52470779418945</v>
      </c>
      <c r="AM7">
        <v>42.11677551269531</v>
      </c>
      <c r="AN7">
        <v>41.97747802734375</v>
      </c>
      <c r="AO7">
        <v>41.33075332641602</v>
      </c>
      <c r="AP7">
        <v>43.12168502807617</v>
      </c>
      <c r="AQ7">
        <v>43.4599723815918</v>
      </c>
      <c r="AR7">
        <v>43.62911605834961</v>
      </c>
      <c r="AS7">
        <v>43.87785720825195</v>
      </c>
      <c r="AT7">
        <v>43.58932113647461</v>
      </c>
      <c r="AU7">
        <v>45.24095916748047</v>
      </c>
      <c r="AV7">
        <v>45.64889144897461</v>
      </c>
      <c r="AW7">
        <v>46.60405731201172</v>
      </c>
      <c r="AX7">
        <v>47.76816177368164</v>
      </c>
      <c r="AY7">
        <v>47.13138580322266</v>
      </c>
      <c r="AZ7">
        <v>46.99209213256836</v>
      </c>
      <c r="BA7">
        <v>48.90242004394531</v>
      </c>
      <c r="BB7">
        <v>49.50934600830078</v>
      </c>
      <c r="BC7">
        <v>49.64864349365234</v>
      </c>
      <c r="BD7">
        <v>49.38000106811523</v>
      </c>
      <c r="BE7">
        <v>49.43999862670898</v>
      </c>
      <c r="BF7">
        <v>51.90000152587891</v>
      </c>
      <c r="BG7">
        <v>51.65999984741211</v>
      </c>
      <c r="BH7">
        <v>50.79000091552734</v>
      </c>
      <c r="BI7">
        <v>51.11000061035156</v>
      </c>
    </row>
    <row r="8" spans="1:61">
      <c r="A8" t="s">
        <v>7</v>
      </c>
      <c r="B8">
        <v>218.9749755859375</v>
      </c>
      <c r="C8">
        <v>218.7452392578125</v>
      </c>
      <c r="D8">
        <v>223.7096862792969</v>
      </c>
      <c r="E8">
        <v>217.3068389892578</v>
      </c>
      <c r="F8">
        <v>217.2568969726562</v>
      </c>
      <c r="G8">
        <v>223.8395233154297</v>
      </c>
      <c r="H8">
        <v>225.0481872558594</v>
      </c>
      <c r="I8">
        <v>224.9083404541016</v>
      </c>
      <c r="J8">
        <v>224.7584991455078</v>
      </c>
      <c r="K8">
        <v>219.4944000244141</v>
      </c>
      <c r="L8">
        <v>217.3168334960938</v>
      </c>
      <c r="M8">
        <v>216.6076354980469</v>
      </c>
      <c r="N8">
        <v>214.4800109863281</v>
      </c>
      <c r="O8">
        <v>208.2469787597656</v>
      </c>
      <c r="P8">
        <v>212.8118743896484</v>
      </c>
      <c r="Q8">
        <v>209.4256591796875</v>
      </c>
      <c r="R8">
        <v>227.7251739501953</v>
      </c>
      <c r="S8">
        <v>217.3068389892578</v>
      </c>
      <c r="T8">
        <v>220.5332336425781</v>
      </c>
      <c r="U8">
        <v>217.1969757080078</v>
      </c>
      <c r="V8">
        <v>224.1591796875</v>
      </c>
      <c r="W8">
        <v>228.1946563720703</v>
      </c>
      <c r="X8">
        <v>230.1025238037109</v>
      </c>
      <c r="Y8">
        <v>225.4776916503906</v>
      </c>
      <c r="Z8">
        <v>223.4199981689453</v>
      </c>
      <c r="AA8">
        <v>218.3600006103516</v>
      </c>
      <c r="AB8">
        <v>218.2899932861328</v>
      </c>
      <c r="AC8">
        <v>210.9600067138672</v>
      </c>
      <c r="AD8">
        <v>212.1699981689453</v>
      </c>
      <c r="AE8">
        <v>213.8999938964844</v>
      </c>
      <c r="AF8">
        <v>219.3399963378906</v>
      </c>
      <c r="AG8">
        <v>222.2700042724609</v>
      </c>
      <c r="AH8">
        <v>227.3800048828125</v>
      </c>
      <c r="AI8">
        <v>228.8699951171875</v>
      </c>
      <c r="AJ8">
        <v>225.5099945068359</v>
      </c>
      <c r="AK8">
        <v>224.5800018310547</v>
      </c>
      <c r="AL8">
        <v>225.0700073242188</v>
      </c>
      <c r="AM8">
        <v>228.8600006103516</v>
      </c>
      <c r="AN8">
        <v>227.2100067138672</v>
      </c>
      <c r="AO8">
        <v>228.3800048828125</v>
      </c>
      <c r="AP8">
        <v>230.8600006103516</v>
      </c>
      <c r="AQ8">
        <v>233.9499969482422</v>
      </c>
      <c r="AR8">
        <v>238.8999938964844</v>
      </c>
      <c r="AS8">
        <v>239.2400054931641</v>
      </c>
      <c r="AT8">
        <v>237.4700012207031</v>
      </c>
      <c r="AU8">
        <v>230.4799957275391</v>
      </c>
      <c r="AV8">
        <v>229.2799987792969</v>
      </c>
      <c r="AW8">
        <v>226.3200073242188</v>
      </c>
      <c r="AX8">
        <v>228.5200042724609</v>
      </c>
      <c r="AY8">
        <v>221.3000030517578</v>
      </c>
      <c r="AZ8">
        <v>217.2299957275391</v>
      </c>
      <c r="BA8">
        <v>214.1300048828125</v>
      </c>
      <c r="BB8">
        <v>217.0899963378906</v>
      </c>
      <c r="BC8">
        <v>216.4700012207031</v>
      </c>
      <c r="BD8">
        <v>221.9700012207031</v>
      </c>
      <c r="BE8">
        <v>212.2100067138672</v>
      </c>
      <c r="BF8">
        <v>210.9600067138672</v>
      </c>
      <c r="BG8">
        <v>216</v>
      </c>
      <c r="BH8">
        <v>217.9400024414062</v>
      </c>
      <c r="BI8">
        <v>215.3800048828125</v>
      </c>
    </row>
    <row r="9" spans="1:61">
      <c r="A9" t="s">
        <v>8</v>
      </c>
      <c r="B9">
        <v>381.1468811035156</v>
      </c>
      <c r="C9">
        <v>384.6847534179688</v>
      </c>
      <c r="D9">
        <v>383.0005187988281</v>
      </c>
      <c r="E9">
        <v>374.3401184082031</v>
      </c>
      <c r="F9">
        <v>374.3301391601562</v>
      </c>
      <c r="G9">
        <v>368.8987426757812</v>
      </c>
      <c r="H9">
        <v>368.7392883300781</v>
      </c>
      <c r="I9">
        <v>369.0980224609375</v>
      </c>
      <c r="J9">
        <v>363.2680053710938</v>
      </c>
      <c r="K9">
        <v>366.6763305664062</v>
      </c>
      <c r="L9">
        <v>360.9857788085938</v>
      </c>
      <c r="M9">
        <v>363.248046875</v>
      </c>
      <c r="N9">
        <v>362.3411254882812</v>
      </c>
      <c r="O9">
        <v>369.2873840332031</v>
      </c>
      <c r="P9">
        <v>368.4004516601562</v>
      </c>
      <c r="Q9">
        <v>369.8853454589844</v>
      </c>
      <c r="R9">
        <v>368.071533203125</v>
      </c>
      <c r="S9">
        <v>368.6396179199219</v>
      </c>
      <c r="T9">
        <v>364.6831359863281</v>
      </c>
      <c r="U9">
        <v>362.6799926757812</v>
      </c>
      <c r="V9">
        <v>364.9322814941406</v>
      </c>
      <c r="W9">
        <v>373.0644836425781</v>
      </c>
      <c r="X9">
        <v>368.0914916992188</v>
      </c>
      <c r="Y9">
        <v>364.4140625</v>
      </c>
      <c r="Z9">
        <v>365.6000061035156</v>
      </c>
      <c r="AA9">
        <v>367.5599975585938</v>
      </c>
      <c r="AB9">
        <v>375.2000122070312</v>
      </c>
      <c r="AC9">
        <v>378.0499877929688</v>
      </c>
      <c r="AD9">
        <v>377.9700012207031</v>
      </c>
      <c r="AE9">
        <v>378.9200134277344</v>
      </c>
      <c r="AF9">
        <v>379.489990234375</v>
      </c>
      <c r="AG9">
        <v>374.6199951171875</v>
      </c>
      <c r="AH9">
        <v>371.1300048828125</v>
      </c>
      <c r="AI9">
        <v>362.010009765625</v>
      </c>
      <c r="AJ9">
        <v>360.3900146484375</v>
      </c>
      <c r="AK9">
        <v>362.3900146484375</v>
      </c>
      <c r="AL9">
        <v>363.0400085449219</v>
      </c>
      <c r="AM9">
        <v>363.1600036621094</v>
      </c>
      <c r="AN9">
        <v>363.2099914550781</v>
      </c>
      <c r="AO9">
        <v>356.510009765625</v>
      </c>
      <c r="AP9">
        <v>361.6400146484375</v>
      </c>
      <c r="AQ9">
        <v>360.3800048828125</v>
      </c>
      <c r="AR9">
        <v>360.7000122070312</v>
      </c>
      <c r="AS9">
        <v>360.6400146484375</v>
      </c>
      <c r="AT9">
        <v>360.6099853515625</v>
      </c>
      <c r="AU9">
        <v>370.2699890136719</v>
      </c>
      <c r="AV9">
        <v>368.75</v>
      </c>
      <c r="AW9">
        <v>371.6799926757812</v>
      </c>
      <c r="AX9">
        <v>373.2799987792969</v>
      </c>
      <c r="AY9">
        <v>377.8200073242188</v>
      </c>
      <c r="AZ9">
        <v>383.8900146484375</v>
      </c>
      <c r="BA9">
        <v>389.5400085449219</v>
      </c>
      <c r="BB9">
        <v>385.4500122070312</v>
      </c>
      <c r="BC9">
        <v>395.7300109863281</v>
      </c>
      <c r="BD9">
        <v>398.9500122070312</v>
      </c>
      <c r="BE9">
        <v>405.4400024414062</v>
      </c>
      <c r="BF9">
        <v>398.2799987792969</v>
      </c>
      <c r="BG9">
        <v>400.1700134277344</v>
      </c>
      <c r="BH9">
        <v>397.0299987792969</v>
      </c>
      <c r="BI9">
        <v>394.010009765625</v>
      </c>
    </row>
    <row r="10" spans="1:61">
      <c r="A10" t="s">
        <v>9</v>
      </c>
      <c r="B10">
        <v>359.8963623046875</v>
      </c>
      <c r="C10">
        <v>356.3886108398438</v>
      </c>
      <c r="D10">
        <v>353.2406616210938</v>
      </c>
      <c r="E10">
        <v>355.609130859375</v>
      </c>
      <c r="F10">
        <v>342.7774658203125</v>
      </c>
      <c r="G10">
        <v>342.1478576660156</v>
      </c>
      <c r="H10">
        <v>343.7168579101562</v>
      </c>
      <c r="I10">
        <v>343.3171081542969</v>
      </c>
      <c r="J10">
        <v>341.2284851074219</v>
      </c>
      <c r="K10">
        <v>341.0585632324219</v>
      </c>
      <c r="L10">
        <v>341.4783325195312</v>
      </c>
      <c r="M10">
        <v>337.9805908203125</v>
      </c>
      <c r="N10">
        <v>341.5282592773438</v>
      </c>
      <c r="O10">
        <v>344.3664245605469</v>
      </c>
      <c r="P10">
        <v>343.1172485351562</v>
      </c>
      <c r="Q10">
        <v>338.8800048828125</v>
      </c>
      <c r="R10">
        <v>337.4908752441406</v>
      </c>
      <c r="S10">
        <v>342.6575317382812</v>
      </c>
      <c r="T10">
        <v>335.1923828125</v>
      </c>
      <c r="U10">
        <v>331.8145751953125</v>
      </c>
      <c r="V10">
        <v>333.5634460449219</v>
      </c>
      <c r="W10">
        <v>338.8599853515625</v>
      </c>
      <c r="X10">
        <v>335.3099975585938</v>
      </c>
      <c r="Y10">
        <v>335.3800048828125</v>
      </c>
      <c r="Z10">
        <v>328.3800048828125</v>
      </c>
      <c r="AA10">
        <v>330.3900146484375</v>
      </c>
      <c r="AB10">
        <v>335.4500122070312</v>
      </c>
      <c r="AC10">
        <v>345.7099914550781</v>
      </c>
      <c r="AD10">
        <v>341.4299926757812</v>
      </c>
      <c r="AE10">
        <v>339.3599853515625</v>
      </c>
      <c r="AF10">
        <v>343.6799926757812</v>
      </c>
      <c r="AG10">
        <v>344.4100036621094</v>
      </c>
      <c r="AH10">
        <v>350.8699951171875</v>
      </c>
      <c r="AI10">
        <v>347.4100036621094</v>
      </c>
      <c r="AJ10">
        <v>334.9800109863281</v>
      </c>
      <c r="AK10">
        <v>339.010009765625</v>
      </c>
      <c r="AL10">
        <v>341.0799865722656</v>
      </c>
      <c r="AM10">
        <v>339.1600036621094</v>
      </c>
      <c r="AN10">
        <v>337.3200073242188</v>
      </c>
      <c r="AO10">
        <v>340.739990234375</v>
      </c>
      <c r="AP10">
        <v>334.9299926757812</v>
      </c>
      <c r="AQ10">
        <v>340.3500061035156</v>
      </c>
      <c r="AR10">
        <v>343.8299865722656</v>
      </c>
      <c r="AS10">
        <v>344.5899963378906</v>
      </c>
      <c r="AT10">
        <v>347.3699951171875</v>
      </c>
      <c r="AU10">
        <v>344.8599853515625</v>
      </c>
      <c r="AV10">
        <v>347.8599853515625</v>
      </c>
      <c r="AW10">
        <v>348.9700012207031</v>
      </c>
      <c r="AX10">
        <v>349.5199890136719</v>
      </c>
      <c r="AY10">
        <v>343.6499938964844</v>
      </c>
      <c r="AZ10">
        <v>344.9100036621094</v>
      </c>
      <c r="BA10">
        <v>336.9100036621094</v>
      </c>
      <c r="BB10">
        <v>340.1600036621094</v>
      </c>
      <c r="BC10">
        <v>336.3999938964844</v>
      </c>
      <c r="BD10">
        <v>330.9500122070312</v>
      </c>
      <c r="BE10">
        <v>320.760009765625</v>
      </c>
      <c r="BF10">
        <v>317.2799987792969</v>
      </c>
      <c r="BG10">
        <v>314.1900024414062</v>
      </c>
      <c r="BH10">
        <v>316.8299865722656</v>
      </c>
      <c r="BI10">
        <v>321.8900146484375</v>
      </c>
    </row>
    <row r="11" spans="1:61">
      <c r="A11" t="s">
        <v>10</v>
      </c>
      <c r="B11">
        <v>66.98999786376953</v>
      </c>
      <c r="C11">
        <v>64.19999694824219</v>
      </c>
      <c r="D11">
        <v>65.76999664306641</v>
      </c>
      <c r="E11">
        <v>66.56999969482422</v>
      </c>
      <c r="F11">
        <v>64.87999725341797</v>
      </c>
      <c r="G11">
        <v>67.06999969482422</v>
      </c>
      <c r="H11">
        <v>66.04000091552734</v>
      </c>
      <c r="I11">
        <v>67.47000122070312</v>
      </c>
      <c r="J11">
        <v>64.41000366210938</v>
      </c>
      <c r="K11">
        <v>65.22000122070312</v>
      </c>
      <c r="L11">
        <v>64.69999694824219</v>
      </c>
      <c r="M11">
        <v>64.13999938964844</v>
      </c>
      <c r="N11">
        <v>65.01999664306641</v>
      </c>
      <c r="O11">
        <v>65.65000152587891</v>
      </c>
      <c r="P11">
        <v>65</v>
      </c>
      <c r="Q11">
        <v>65.47000122070312</v>
      </c>
      <c r="R11">
        <v>65.33000183105469</v>
      </c>
      <c r="S11">
        <v>64.75</v>
      </c>
      <c r="T11">
        <v>64.33999633789062</v>
      </c>
      <c r="U11">
        <v>65.23000335693359</v>
      </c>
      <c r="V11">
        <v>67.33999633789062</v>
      </c>
      <c r="W11">
        <v>68.01999664306641</v>
      </c>
      <c r="X11">
        <v>67.04000091552734</v>
      </c>
      <c r="Y11">
        <v>64.58000183105469</v>
      </c>
      <c r="Z11">
        <v>64.05999755859375</v>
      </c>
      <c r="AA11">
        <v>65.40000152587891</v>
      </c>
      <c r="AB11">
        <v>66.41999816894531</v>
      </c>
      <c r="AC11">
        <v>69.41000366210938</v>
      </c>
      <c r="AD11">
        <v>67.66000366210938</v>
      </c>
      <c r="AE11">
        <v>66.01000213623047</v>
      </c>
      <c r="AF11">
        <v>67.09999847412109</v>
      </c>
      <c r="AG11">
        <v>65.11000061035156</v>
      </c>
      <c r="AH11">
        <v>64.98999786376953</v>
      </c>
      <c r="AI11">
        <v>63.29999923706055</v>
      </c>
      <c r="AJ11">
        <v>62.08000183105469</v>
      </c>
      <c r="AK11">
        <v>61.91999816894531</v>
      </c>
      <c r="AL11">
        <v>61.81999969482422</v>
      </c>
      <c r="AM11">
        <v>62.52999877929688</v>
      </c>
      <c r="AN11">
        <v>62.20999908447266</v>
      </c>
      <c r="AO11">
        <v>62.11999893188477</v>
      </c>
      <c r="AP11">
        <v>60.9900016784668</v>
      </c>
      <c r="AQ11">
        <v>62.9900016784668</v>
      </c>
      <c r="AR11">
        <v>64.30000305175781</v>
      </c>
      <c r="AS11">
        <v>64.61000061035156</v>
      </c>
      <c r="AT11">
        <v>64.98999786376953</v>
      </c>
      <c r="AU11">
        <v>64.54000091552734</v>
      </c>
      <c r="AV11">
        <v>65.36000061035156</v>
      </c>
      <c r="AW11">
        <v>67.01999664306641</v>
      </c>
      <c r="AX11">
        <v>68.86000061035156</v>
      </c>
      <c r="AY11">
        <v>70.16000366210938</v>
      </c>
      <c r="AZ11">
        <v>70.51000213623047</v>
      </c>
      <c r="BA11">
        <v>69.16000366210938</v>
      </c>
      <c r="BB11">
        <v>68.62999725341797</v>
      </c>
      <c r="BC11">
        <v>70.80999755859375</v>
      </c>
      <c r="BD11">
        <v>70.23999786376953</v>
      </c>
      <c r="BE11">
        <v>71.23999786376953</v>
      </c>
      <c r="BF11">
        <v>70.16999816894531</v>
      </c>
      <c r="BG11">
        <v>68.02999877929688</v>
      </c>
      <c r="BH11">
        <v>68.70999908447266</v>
      </c>
      <c r="BI11">
        <v>67.05000305175781</v>
      </c>
    </row>
    <row r="12" spans="1:61">
      <c r="A12" t="s">
        <v>11</v>
      </c>
      <c r="B12">
        <v>362.1971740722656</v>
      </c>
      <c r="C12">
        <v>357.5202026367188</v>
      </c>
      <c r="D12">
        <v>354.0723876953125</v>
      </c>
      <c r="E12">
        <v>357.2903442382812</v>
      </c>
      <c r="F12">
        <v>343.5791320800781</v>
      </c>
      <c r="G12">
        <v>343.3193359375</v>
      </c>
      <c r="H12">
        <v>346.1375122070312</v>
      </c>
      <c r="I12">
        <v>345.6777954101562</v>
      </c>
      <c r="J12">
        <v>343.7790222167969</v>
      </c>
      <c r="K12">
        <v>343.9789123535156</v>
      </c>
      <c r="L12">
        <v>344.4985656738281</v>
      </c>
      <c r="M12">
        <v>340.451171875</v>
      </c>
      <c r="N12">
        <v>344.5985107421875</v>
      </c>
      <c r="O12">
        <v>347.83642578125</v>
      </c>
      <c r="P12">
        <v>346.7371215820312</v>
      </c>
      <c r="Q12">
        <v>341.7803039550781</v>
      </c>
      <c r="R12">
        <v>340.4311828613281</v>
      </c>
      <c r="S12">
        <v>346.3673706054688</v>
      </c>
      <c r="T12">
        <v>339.1320190429688</v>
      </c>
      <c r="U12">
        <v>334.8047790527344</v>
      </c>
      <c r="V12">
        <v>336.9034423828125</v>
      </c>
      <c r="W12">
        <v>342.260009765625</v>
      </c>
      <c r="X12">
        <v>338.4599914550781</v>
      </c>
      <c r="Y12">
        <v>338.3599853515625</v>
      </c>
      <c r="Z12">
        <v>330.6499938964844</v>
      </c>
      <c r="AA12">
        <v>332.6000061035156</v>
      </c>
      <c r="AB12">
        <v>338.5</v>
      </c>
      <c r="AC12">
        <v>349.3900146484375</v>
      </c>
      <c r="AD12">
        <v>344.9800109863281</v>
      </c>
      <c r="AE12">
        <v>342.8699951171875</v>
      </c>
      <c r="AF12">
        <v>347.3299865722656</v>
      </c>
      <c r="AG12">
        <v>349.5400085449219</v>
      </c>
      <c r="AH12">
        <v>354.9700012207031</v>
      </c>
      <c r="AI12">
        <v>351.1600036621094</v>
      </c>
      <c r="AJ12">
        <v>337.8299865722656</v>
      </c>
      <c r="AK12">
        <v>342.3599853515625</v>
      </c>
      <c r="AL12">
        <v>343.9200134277344</v>
      </c>
      <c r="AM12">
        <v>342.75</v>
      </c>
      <c r="AN12">
        <v>340.9200134277344</v>
      </c>
      <c r="AO12">
        <v>344.0799865722656</v>
      </c>
      <c r="AP12">
        <v>338.239990234375</v>
      </c>
      <c r="AQ12">
        <v>343.5</v>
      </c>
      <c r="AR12">
        <v>346.4700012207031</v>
      </c>
      <c r="AS12">
        <v>347.6799926757812</v>
      </c>
      <c r="AT12">
        <v>350.5</v>
      </c>
      <c r="AU12">
        <v>348.2900085449219</v>
      </c>
      <c r="AV12">
        <v>351.6600036621094</v>
      </c>
      <c r="AW12">
        <v>352.7200012207031</v>
      </c>
      <c r="AX12">
        <v>353.7799987792969</v>
      </c>
      <c r="AY12">
        <v>347.6400146484375</v>
      </c>
      <c r="AZ12">
        <v>349.2200012207031</v>
      </c>
      <c r="BA12">
        <v>340.5899963378906</v>
      </c>
      <c r="BB12">
        <v>344.1799926757812</v>
      </c>
      <c r="BC12">
        <v>340.2799987792969</v>
      </c>
      <c r="BD12">
        <v>334.760009765625</v>
      </c>
      <c r="BE12">
        <v>324.2200012207031</v>
      </c>
      <c r="BF12">
        <v>320.2099914550781</v>
      </c>
      <c r="BG12">
        <v>316.7999877929688</v>
      </c>
      <c r="BH12">
        <v>320.5799865722656</v>
      </c>
      <c r="BI12">
        <v>324.8900146484375</v>
      </c>
    </row>
    <row r="13" spans="1:61">
      <c r="A13" t="s">
        <v>12</v>
      </c>
      <c r="B13">
        <v>263.4933776855469</v>
      </c>
      <c r="C13">
        <v>273.9697570800781</v>
      </c>
      <c r="D13">
        <v>265.8934020996094</v>
      </c>
      <c r="E13">
        <v>268.5523376464844</v>
      </c>
      <c r="F13">
        <v>261.1431579589844</v>
      </c>
      <c r="G13">
        <v>254.7796325683594</v>
      </c>
      <c r="H13">
        <v>259.4004211425781</v>
      </c>
      <c r="I13">
        <v>260.3265686035156</v>
      </c>
      <c r="J13">
        <v>257.0302734375</v>
      </c>
      <c r="K13">
        <v>260.067626953125</v>
      </c>
      <c r="L13">
        <v>258.6634826660156</v>
      </c>
      <c r="M13">
        <v>253.4850311279297</v>
      </c>
      <c r="N13">
        <v>252.7779693603516</v>
      </c>
      <c r="O13">
        <v>259.1116027832031</v>
      </c>
      <c r="P13">
        <v>256.55224609375</v>
      </c>
      <c r="Q13">
        <v>260.7248840332031</v>
      </c>
      <c r="R13">
        <v>256.55224609375</v>
      </c>
      <c r="S13">
        <v>259.4999694824219</v>
      </c>
      <c r="T13">
        <v>257.7999877929688</v>
      </c>
      <c r="U13">
        <v>257.8699951171875</v>
      </c>
      <c r="V13">
        <v>259.3399963378906</v>
      </c>
      <c r="W13">
        <v>263.1099853515625</v>
      </c>
      <c r="X13">
        <v>259.5700073242188</v>
      </c>
      <c r="Y13">
        <v>253.4600067138672</v>
      </c>
      <c r="Z13">
        <v>253.5800018310547</v>
      </c>
      <c r="AA13">
        <v>251.7899932861328</v>
      </c>
      <c r="AB13">
        <v>253.7100067138672</v>
      </c>
      <c r="AC13">
        <v>258.4800109863281</v>
      </c>
      <c r="AD13">
        <v>257.2099914550781</v>
      </c>
      <c r="AE13">
        <v>254.8500061035156</v>
      </c>
      <c r="AF13">
        <v>252.2100067138672</v>
      </c>
      <c r="AG13">
        <v>249.8300018310547</v>
      </c>
      <c r="AH13">
        <v>242.8600006103516</v>
      </c>
      <c r="AI13">
        <v>229.5</v>
      </c>
      <c r="AJ13">
        <v>225.6600036621094</v>
      </c>
      <c r="AK13">
        <v>227.1699981689453</v>
      </c>
      <c r="AL13">
        <v>227.6000061035156</v>
      </c>
      <c r="AM13">
        <v>227.5500030517578</v>
      </c>
      <c r="AN13">
        <v>225.4199981689453</v>
      </c>
      <c r="AO13">
        <v>221.8600006103516</v>
      </c>
      <c r="AP13">
        <v>224.4100036621094</v>
      </c>
      <c r="AQ13">
        <v>223.7400054931641</v>
      </c>
      <c r="AR13">
        <v>224.7100067138672</v>
      </c>
      <c r="AS13">
        <v>224.2700042724609</v>
      </c>
      <c r="AT13">
        <v>223.9499969482422</v>
      </c>
      <c r="AU13">
        <v>230.6300048828125</v>
      </c>
      <c r="AV13">
        <v>229.4299926757812</v>
      </c>
      <c r="AW13">
        <v>232.6000061035156</v>
      </c>
      <c r="AX13">
        <v>236.3999938964844</v>
      </c>
      <c r="AY13">
        <v>236.1699981689453</v>
      </c>
      <c r="AZ13">
        <v>239.6000061035156</v>
      </c>
      <c r="BA13">
        <v>247.8800048828125</v>
      </c>
      <c r="BB13">
        <v>246.8500061035156</v>
      </c>
      <c r="BC13">
        <v>249.9100036621094</v>
      </c>
      <c r="BD13">
        <v>251.0399932861328</v>
      </c>
      <c r="BE13">
        <v>259.1000061035156</v>
      </c>
      <c r="BF13">
        <v>253.1900024414062</v>
      </c>
      <c r="BG13">
        <v>255.9499969482422</v>
      </c>
      <c r="BH13">
        <v>251.7100067138672</v>
      </c>
      <c r="BI13">
        <v>250.1999969482422</v>
      </c>
    </row>
    <row r="14" spans="1:61">
      <c r="A14" t="s">
        <v>13</v>
      </c>
      <c r="B14">
        <v>146.574951171875</v>
      </c>
      <c r="C14">
        <v>145.9596862792969</v>
      </c>
      <c r="D14">
        <v>148.5597229003906</v>
      </c>
      <c r="E14">
        <v>150.862060546875</v>
      </c>
      <c r="F14">
        <v>151.1299896240234</v>
      </c>
      <c r="G14">
        <v>154</v>
      </c>
      <c r="H14">
        <v>155.5099945068359</v>
      </c>
      <c r="I14">
        <v>154.4799957275391</v>
      </c>
      <c r="J14">
        <v>151.0099945068359</v>
      </c>
      <c r="K14">
        <v>152.4799957275391</v>
      </c>
      <c r="L14">
        <v>159</v>
      </c>
      <c r="M14">
        <v>158.25</v>
      </c>
      <c r="N14">
        <v>165.4400024414062</v>
      </c>
      <c r="O14">
        <v>169.8899993896484</v>
      </c>
      <c r="P14">
        <v>163.4700012207031</v>
      </c>
      <c r="Q14">
        <v>164.0399932861328</v>
      </c>
      <c r="R14">
        <v>165.9299926757812</v>
      </c>
      <c r="S14">
        <v>163.1799926757812</v>
      </c>
      <c r="T14">
        <v>160.8800048828125</v>
      </c>
      <c r="U14">
        <v>163.75</v>
      </c>
      <c r="V14">
        <v>163.3600006103516</v>
      </c>
      <c r="W14">
        <v>164.0099945068359</v>
      </c>
      <c r="X14">
        <v>164.4400024414062</v>
      </c>
      <c r="Y14">
        <v>162.7100067138672</v>
      </c>
      <c r="Z14">
        <v>157.5200042724609</v>
      </c>
      <c r="AA14">
        <v>155.7299957275391</v>
      </c>
      <c r="AB14">
        <v>155.8300018310547</v>
      </c>
      <c r="AC14">
        <v>158.6999969482422</v>
      </c>
      <c r="AD14">
        <v>154.3999938964844</v>
      </c>
      <c r="AE14">
        <v>154.6799926757812</v>
      </c>
      <c r="AF14">
        <v>159.8300018310547</v>
      </c>
      <c r="AG14">
        <v>158.1900024414062</v>
      </c>
      <c r="AH14">
        <v>157.7100067138672</v>
      </c>
      <c r="AI14">
        <v>159.0200042724609</v>
      </c>
      <c r="AJ14">
        <v>156.2599945068359</v>
      </c>
      <c r="AK14">
        <v>156.1499938964844</v>
      </c>
      <c r="AL14">
        <v>157.4499969482422</v>
      </c>
      <c r="AM14">
        <v>158.4299926757812</v>
      </c>
      <c r="AN14">
        <v>156.4299926757812</v>
      </c>
      <c r="AO14">
        <v>156.6900024414062</v>
      </c>
      <c r="AP14">
        <v>156.6999969482422</v>
      </c>
      <c r="AQ14">
        <v>156</v>
      </c>
      <c r="AR14">
        <v>152.9900054931641</v>
      </c>
      <c r="AS14">
        <v>154.3300018310547</v>
      </c>
      <c r="AT14">
        <v>150.9199981689453</v>
      </c>
      <c r="AU14">
        <v>154.7599945068359</v>
      </c>
      <c r="AV14">
        <v>153.6399993896484</v>
      </c>
      <c r="AW14">
        <v>153.6199951171875</v>
      </c>
      <c r="AX14">
        <v>151.9900054931641</v>
      </c>
      <c r="AY14">
        <v>155.3099975585938</v>
      </c>
      <c r="AZ14">
        <v>156.6300048828125</v>
      </c>
      <c r="BA14">
        <v>154.2599945068359</v>
      </c>
      <c r="BB14">
        <v>153.2899932861328</v>
      </c>
      <c r="BC14">
        <v>154</v>
      </c>
      <c r="BD14">
        <v>152.3800048828125</v>
      </c>
      <c r="BE14">
        <v>158.1100006103516</v>
      </c>
      <c r="BF14">
        <v>152.7599945068359</v>
      </c>
      <c r="BG14">
        <v>148.5299987792969</v>
      </c>
      <c r="BH14">
        <v>148.0099945068359</v>
      </c>
      <c r="BI14">
        <v>148.9600067138672</v>
      </c>
    </row>
    <row r="15" spans="1:61">
      <c r="A15" t="s">
        <v>14</v>
      </c>
      <c r="B15">
        <v>119.8000030517578</v>
      </c>
      <c r="C15">
        <v>118.379997253418</v>
      </c>
      <c r="D15">
        <v>120.5599975585938</v>
      </c>
      <c r="E15">
        <v>121.5500030517578</v>
      </c>
      <c r="F15">
        <v>121.0699996948242</v>
      </c>
      <c r="G15">
        <v>120.7699966430664</v>
      </c>
      <c r="H15">
        <v>120.5199966430664</v>
      </c>
      <c r="I15">
        <v>120.1600036621094</v>
      </c>
      <c r="J15">
        <v>123.5</v>
      </c>
      <c r="K15">
        <v>123.4700012207031</v>
      </c>
      <c r="L15">
        <v>128.4700012207031</v>
      </c>
      <c r="M15">
        <v>127.2200012207031</v>
      </c>
      <c r="N15">
        <v>127.8099975585938</v>
      </c>
      <c r="O15">
        <v>127.9800033569336</v>
      </c>
      <c r="P15">
        <v>129.7200012207031</v>
      </c>
      <c r="Q15">
        <v>128.1199951171875</v>
      </c>
      <c r="R15">
        <v>127.7399978637695</v>
      </c>
      <c r="S15">
        <v>124.370002746582</v>
      </c>
      <c r="T15">
        <v>123.2200012207031</v>
      </c>
      <c r="U15">
        <v>125.0100021362305</v>
      </c>
      <c r="V15">
        <v>128.8300018310547</v>
      </c>
      <c r="W15">
        <v>128</v>
      </c>
      <c r="X15">
        <v>126.75</v>
      </c>
      <c r="Y15">
        <v>124.4000015258789</v>
      </c>
      <c r="Z15">
        <v>126.0100021362305</v>
      </c>
      <c r="AA15">
        <v>123.2799987792969</v>
      </c>
      <c r="AB15">
        <v>121.4700012207031</v>
      </c>
      <c r="AC15">
        <v>122.1900024414062</v>
      </c>
      <c r="AD15">
        <v>121.7399978637695</v>
      </c>
      <c r="AE15">
        <v>124.75</v>
      </c>
      <c r="AF15">
        <v>127.620002746582</v>
      </c>
      <c r="AG15">
        <v>125.3099975585938</v>
      </c>
      <c r="AH15">
        <v>124.6500015258789</v>
      </c>
      <c r="AI15">
        <v>126.9300003051758</v>
      </c>
      <c r="AJ15">
        <v>124.6399993896484</v>
      </c>
      <c r="AK15">
        <v>124.4400024414062</v>
      </c>
      <c r="AL15">
        <v>123.8899993896484</v>
      </c>
      <c r="AM15">
        <v>124.8199996948242</v>
      </c>
      <c r="AN15">
        <v>123.1999969482422</v>
      </c>
      <c r="AO15">
        <v>121.3499984741211</v>
      </c>
      <c r="AP15">
        <v>117.1399993896484</v>
      </c>
      <c r="AQ15">
        <v>115.3000030517578</v>
      </c>
      <c r="AR15">
        <v>114.129997253418</v>
      </c>
      <c r="AS15">
        <v>112.7300033569336</v>
      </c>
      <c r="AT15">
        <v>113.4400024414062</v>
      </c>
      <c r="AU15">
        <v>112.75</v>
      </c>
      <c r="AV15">
        <v>112.7900009155273</v>
      </c>
      <c r="AW15">
        <v>111.3600006103516</v>
      </c>
      <c r="AX15">
        <v>108.620002746582</v>
      </c>
      <c r="AY15">
        <v>111.5699996948242</v>
      </c>
      <c r="AZ15">
        <v>113.2699966430664</v>
      </c>
      <c r="BA15">
        <v>113.0699996948242</v>
      </c>
      <c r="BB15">
        <v>113.25</v>
      </c>
      <c r="BC15">
        <v>116.620002746582</v>
      </c>
      <c r="BD15">
        <v>113.4400024414062</v>
      </c>
      <c r="BE15">
        <v>116.9300003051758</v>
      </c>
      <c r="BF15">
        <v>115.7099990844727</v>
      </c>
      <c r="BG15">
        <v>113.3099975585938</v>
      </c>
      <c r="BH15">
        <v>116.5999984741211</v>
      </c>
      <c r="BI15">
        <v>116.870002746582</v>
      </c>
    </row>
    <row r="16" spans="1:61">
      <c r="A16" t="s">
        <v>15</v>
      </c>
      <c r="B16">
        <v>272.6499938964844</v>
      </c>
      <c r="C16">
        <v>272.260009765625</v>
      </c>
      <c r="D16">
        <v>274.4800109863281</v>
      </c>
      <c r="E16">
        <v>278.0899963378906</v>
      </c>
      <c r="F16">
        <v>272.2699890136719</v>
      </c>
      <c r="G16">
        <v>267.2799987792969</v>
      </c>
      <c r="H16">
        <v>265.1300048828125</v>
      </c>
      <c r="I16">
        <v>262.6499938964844</v>
      </c>
      <c r="J16">
        <v>261.3099975585938</v>
      </c>
      <c r="K16">
        <v>259.4500122070312</v>
      </c>
      <c r="L16">
        <v>265.8399963378906</v>
      </c>
      <c r="M16">
        <v>260.1099853515625</v>
      </c>
      <c r="N16">
        <v>258.6300048828125</v>
      </c>
      <c r="O16">
        <v>262.0700073242188</v>
      </c>
      <c r="P16">
        <v>261.0599975585938</v>
      </c>
      <c r="Q16">
        <v>260.2799987792969</v>
      </c>
      <c r="R16">
        <v>256.260009765625</v>
      </c>
      <c r="S16">
        <v>266.4299926757812</v>
      </c>
      <c r="T16">
        <v>259.7699890136719</v>
      </c>
      <c r="U16">
        <v>254.9199981689453</v>
      </c>
      <c r="V16">
        <v>254.9799957275391</v>
      </c>
      <c r="W16">
        <v>258.8999938964844</v>
      </c>
      <c r="X16">
        <v>258.510009765625</v>
      </c>
      <c r="Y16">
        <v>256.9700012207031</v>
      </c>
      <c r="Z16">
        <v>252.3999938964844</v>
      </c>
      <c r="AA16">
        <v>251.8899993896484</v>
      </c>
      <c r="AB16">
        <v>256.7799987792969</v>
      </c>
      <c r="AC16">
        <v>253.5399932861328</v>
      </c>
      <c r="AD16">
        <v>248.4199981689453</v>
      </c>
      <c r="AE16">
        <v>245.9600067138672</v>
      </c>
      <c r="AF16">
        <v>251.1900024414062</v>
      </c>
      <c r="AG16">
        <v>253.7100067138672</v>
      </c>
      <c r="AH16">
        <v>258.4500122070312</v>
      </c>
      <c r="AI16">
        <v>254.9799957275391</v>
      </c>
      <c r="AJ16">
        <v>249.2700042724609</v>
      </c>
      <c r="AK16">
        <v>249.3800048828125</v>
      </c>
      <c r="AL16">
        <v>249.6699981689453</v>
      </c>
      <c r="AM16">
        <v>246.1499938964844</v>
      </c>
      <c r="AN16">
        <v>246.6699981689453</v>
      </c>
      <c r="AO16">
        <v>249.1499938964844</v>
      </c>
      <c r="AP16">
        <v>248.2299957275391</v>
      </c>
      <c r="AQ16">
        <v>251.5200042724609</v>
      </c>
      <c r="AR16">
        <v>251.3999938964844</v>
      </c>
      <c r="AS16">
        <v>256.2900085449219</v>
      </c>
      <c r="AT16">
        <v>259.9200134277344</v>
      </c>
      <c r="AU16">
        <v>254.0599975585938</v>
      </c>
      <c r="AV16">
        <v>262.4299926757812</v>
      </c>
      <c r="AW16">
        <v>259.5299987792969</v>
      </c>
      <c r="AX16">
        <v>258.5799865722656</v>
      </c>
      <c r="AY16">
        <v>254.0800018310547</v>
      </c>
      <c r="AZ16">
        <v>254.7599945068359</v>
      </c>
      <c r="BA16">
        <v>250</v>
      </c>
      <c r="BB16">
        <v>262.4500122070312</v>
      </c>
      <c r="BC16">
        <v>262.6300048828125</v>
      </c>
      <c r="BD16">
        <v>262.3699951171875</v>
      </c>
      <c r="BE16">
        <v>250.3800048828125</v>
      </c>
      <c r="BF16">
        <v>248</v>
      </c>
      <c r="BG16">
        <v>249.0899963378906</v>
      </c>
      <c r="BH16">
        <v>253.1000061035156</v>
      </c>
      <c r="BI16">
        <v>254.6000061035156</v>
      </c>
    </row>
    <row r="17" spans="1:61">
      <c r="A17" t="s">
        <v>16</v>
      </c>
      <c r="B17">
        <v>199.8699951171875</v>
      </c>
      <c r="C17">
        <v>193.7200012207031</v>
      </c>
      <c r="D17">
        <v>187.9600067138672</v>
      </c>
      <c r="E17">
        <v>191.7899932861328</v>
      </c>
      <c r="F17">
        <v>192.8399963378906</v>
      </c>
      <c r="G17">
        <v>192.9100036621094</v>
      </c>
      <c r="H17">
        <v>192.6399993896484</v>
      </c>
      <c r="I17">
        <v>190.8899993896484</v>
      </c>
      <c r="J17">
        <v>193.1399993896484</v>
      </c>
      <c r="K17">
        <v>188.2899932861328</v>
      </c>
      <c r="L17">
        <v>205</v>
      </c>
      <c r="M17">
        <v>213.2400054931641</v>
      </c>
      <c r="N17">
        <v>219.3999938964844</v>
      </c>
      <c r="O17">
        <v>223.2200012207031</v>
      </c>
      <c r="P17">
        <v>224.9900054931641</v>
      </c>
      <c r="Q17">
        <v>224.8399963378906</v>
      </c>
      <c r="R17">
        <v>227.6900024414062</v>
      </c>
      <c r="S17">
        <v>215.5899963378906</v>
      </c>
      <c r="T17">
        <v>213.6300048828125</v>
      </c>
      <c r="U17">
        <v>207.1300048828125</v>
      </c>
      <c r="V17">
        <v>213.25</v>
      </c>
      <c r="W17">
        <v>221.6600036621094</v>
      </c>
      <c r="X17">
        <v>218.2200012207031</v>
      </c>
      <c r="Y17">
        <v>211.0599975585938</v>
      </c>
      <c r="Z17">
        <v>205</v>
      </c>
      <c r="AA17">
        <v>201.2700042724609</v>
      </c>
      <c r="AB17">
        <v>206.4499969482422</v>
      </c>
      <c r="AC17">
        <v>208.2100067138672</v>
      </c>
      <c r="AD17">
        <v>222.2899932861328</v>
      </c>
      <c r="AE17">
        <v>228.9299926757812</v>
      </c>
      <c r="AF17">
        <v>245.1799926757812</v>
      </c>
      <c r="AG17">
        <v>239.6199951171875</v>
      </c>
      <c r="AH17">
        <v>238.8200073242188</v>
      </c>
      <c r="AI17">
        <v>247.4600067138672</v>
      </c>
      <c r="AJ17">
        <v>255.3800048828125</v>
      </c>
      <c r="AK17">
        <v>273.8999938964844</v>
      </c>
      <c r="AL17">
        <v>270</v>
      </c>
      <c r="AM17">
        <v>271.8999938964844</v>
      </c>
      <c r="AN17">
        <v>272</v>
      </c>
      <c r="AO17">
        <v>273.6799926757812</v>
      </c>
      <c r="AP17">
        <v>265.7200012207031</v>
      </c>
      <c r="AQ17">
        <v>273.0400085449219</v>
      </c>
      <c r="AR17">
        <v>293.6900024414062</v>
      </c>
      <c r="AS17">
        <v>273.5400085449219</v>
      </c>
      <c r="AT17">
        <v>267.760009765625</v>
      </c>
      <c r="AU17">
        <v>264.5700073242188</v>
      </c>
      <c r="AV17">
        <v>278.1700134277344</v>
      </c>
      <c r="AW17">
        <v>276.6700134277344</v>
      </c>
      <c r="AX17">
        <v>271.1799926757812</v>
      </c>
      <c r="AY17">
        <v>271.760009765625</v>
      </c>
      <c r="AZ17">
        <v>267.9299926757812</v>
      </c>
      <c r="BA17">
        <v>262.5400085449219</v>
      </c>
      <c r="BB17">
        <v>262.6600036621094</v>
      </c>
      <c r="BC17">
        <v>267.9299926757812</v>
      </c>
      <c r="BD17">
        <v>282.8599853515625</v>
      </c>
      <c r="BE17">
        <v>269.3999938964844</v>
      </c>
      <c r="BF17">
        <v>269.4200134277344</v>
      </c>
      <c r="BG17">
        <v>271.0400085449219</v>
      </c>
      <c r="BH17">
        <v>279.4700012207031</v>
      </c>
      <c r="BI17">
        <v>288.7900085449219</v>
      </c>
    </row>
    <row r="18" spans="1:61">
      <c r="A18" t="s">
        <v>17</v>
      </c>
      <c r="B18">
        <v>128.7599945068359</v>
      </c>
      <c r="C18">
        <v>129.6799926757812</v>
      </c>
      <c r="D18">
        <v>130.8999938964844</v>
      </c>
      <c r="E18">
        <v>129.3699951171875</v>
      </c>
      <c r="F18">
        <v>128.0599975585938</v>
      </c>
      <c r="G18">
        <v>128.6100006103516</v>
      </c>
      <c r="H18">
        <v>129.5299987792969</v>
      </c>
      <c r="I18">
        <v>129.3899993896484</v>
      </c>
      <c r="J18">
        <v>129.5399932861328</v>
      </c>
      <c r="K18">
        <v>130.4799957275391</v>
      </c>
      <c r="L18">
        <v>131.8399963378906</v>
      </c>
      <c r="M18">
        <v>128.4499969482422</v>
      </c>
      <c r="N18">
        <v>131.4799957275391</v>
      </c>
      <c r="O18">
        <v>136.75</v>
      </c>
      <c r="P18">
        <v>134.4799957275391</v>
      </c>
      <c r="Q18">
        <v>132.1799926757812</v>
      </c>
      <c r="R18">
        <v>127</v>
      </c>
      <c r="S18">
        <v>128.2599945068359</v>
      </c>
      <c r="T18">
        <v>126.5899963378906</v>
      </c>
      <c r="U18">
        <v>131.7100067138672</v>
      </c>
      <c r="V18">
        <v>131.9100036621094</v>
      </c>
      <c r="W18">
        <v>131.0399932861328</v>
      </c>
      <c r="X18">
        <v>131.4199981689453</v>
      </c>
      <c r="Y18">
        <v>124.0400009155273</v>
      </c>
      <c r="Z18">
        <v>118.3899993896484</v>
      </c>
      <c r="AA18">
        <v>118.6600036621094</v>
      </c>
      <c r="AB18">
        <v>118.1699981689453</v>
      </c>
      <c r="AC18">
        <v>119.1699981689453</v>
      </c>
      <c r="AD18">
        <v>112.7900009155273</v>
      </c>
      <c r="AE18">
        <v>112.4000015258789</v>
      </c>
      <c r="AF18">
        <v>114.4000015258789</v>
      </c>
      <c r="AG18">
        <v>111.9599990844727</v>
      </c>
      <c r="AH18">
        <v>112.3300018310547</v>
      </c>
      <c r="AI18">
        <v>115.0400009155273</v>
      </c>
      <c r="AJ18">
        <v>113.1600036621094</v>
      </c>
      <c r="AK18">
        <v>113.5</v>
      </c>
      <c r="AL18">
        <v>114.0699996948242</v>
      </c>
      <c r="AM18">
        <v>116.0199966430664</v>
      </c>
      <c r="AN18">
        <v>113.3000030517578</v>
      </c>
      <c r="AO18">
        <v>114.0199966430664</v>
      </c>
      <c r="AP18">
        <v>114.4300003051758</v>
      </c>
      <c r="AQ18">
        <v>112.1600036621094</v>
      </c>
      <c r="AR18">
        <v>113.1900024414062</v>
      </c>
      <c r="AS18">
        <v>116.1900024414062</v>
      </c>
      <c r="AT18">
        <v>116.3000030517578</v>
      </c>
      <c r="AU18">
        <v>118.620002746582</v>
      </c>
      <c r="AV18">
        <v>118.6399993896484</v>
      </c>
      <c r="AW18">
        <v>117.6100006103516</v>
      </c>
      <c r="AX18">
        <v>116.2799987792969</v>
      </c>
      <c r="AY18">
        <v>121.7600021362305</v>
      </c>
      <c r="AZ18">
        <v>124.4100036621094</v>
      </c>
      <c r="BA18">
        <v>124.1800003051758</v>
      </c>
      <c r="BB18">
        <v>123.1500015258789</v>
      </c>
      <c r="BC18">
        <v>124.9599990844727</v>
      </c>
      <c r="BD18">
        <v>125.4800033569336</v>
      </c>
      <c r="BE18">
        <v>131.0399932861328</v>
      </c>
      <c r="BF18">
        <v>125.3099975585938</v>
      </c>
      <c r="BG18">
        <v>124.9199981689453</v>
      </c>
      <c r="BH18">
        <v>123.6500015258789</v>
      </c>
      <c r="BI18">
        <v>127.1800003051758</v>
      </c>
    </row>
    <row r="19" spans="1:61">
      <c r="A19" t="s">
        <v>18</v>
      </c>
      <c r="B19">
        <v>206.6300048828125</v>
      </c>
      <c r="C19">
        <v>206.2799987792969</v>
      </c>
      <c r="D19">
        <v>207.9400024414062</v>
      </c>
      <c r="E19">
        <v>207.1300048828125</v>
      </c>
      <c r="F19">
        <v>203.8899993896484</v>
      </c>
      <c r="G19">
        <v>208.8699951171875</v>
      </c>
      <c r="H19">
        <v>210.6499938964844</v>
      </c>
      <c r="I19">
        <v>209.8300018310547</v>
      </c>
      <c r="J19">
        <v>209.1499938964844</v>
      </c>
      <c r="K19">
        <v>212.5500030517578</v>
      </c>
      <c r="L19">
        <v>221.5599975585938</v>
      </c>
      <c r="M19">
        <v>214.3500061035156</v>
      </c>
      <c r="N19">
        <v>216.7799987792969</v>
      </c>
      <c r="O19">
        <v>218.1199951171875</v>
      </c>
      <c r="P19">
        <v>220.7700042724609</v>
      </c>
      <c r="Q19">
        <v>221.0700073242188</v>
      </c>
      <c r="R19">
        <v>221.5</v>
      </c>
      <c r="S19">
        <v>218.5</v>
      </c>
      <c r="T19">
        <v>216.6499938964844</v>
      </c>
      <c r="U19">
        <v>216.0399932861328</v>
      </c>
      <c r="V19">
        <v>222.6699981689453</v>
      </c>
      <c r="W19">
        <v>224.5099945068359</v>
      </c>
      <c r="X19">
        <v>220.8300018310547</v>
      </c>
      <c r="Y19">
        <v>212.5</v>
      </c>
      <c r="Z19">
        <v>210.7299957275391</v>
      </c>
      <c r="AA19">
        <v>215.4299926757812</v>
      </c>
      <c r="AB19">
        <v>217.1499938964844</v>
      </c>
      <c r="AC19">
        <v>217.3600006103516</v>
      </c>
      <c r="AD19">
        <v>216.1699981689453</v>
      </c>
      <c r="AE19">
        <v>216.0099945068359</v>
      </c>
      <c r="AF19">
        <v>219.0500030517578</v>
      </c>
      <c r="AG19">
        <v>215.5</v>
      </c>
      <c r="AH19">
        <v>219.0700073242188</v>
      </c>
      <c r="AI19">
        <v>225.3600006103516</v>
      </c>
      <c r="AJ19">
        <v>227.5299987792969</v>
      </c>
      <c r="AK19">
        <v>226.3600006103516</v>
      </c>
      <c r="AL19">
        <v>227.6000061035156</v>
      </c>
      <c r="AM19">
        <v>228.6900024414062</v>
      </c>
      <c r="AN19">
        <v>227.0700073242188</v>
      </c>
      <c r="AO19">
        <v>225.8800048828125</v>
      </c>
      <c r="AP19">
        <v>222.8200073242188</v>
      </c>
      <c r="AQ19">
        <v>219.8800048828125</v>
      </c>
      <c r="AR19">
        <v>223.5899963378906</v>
      </c>
      <c r="AS19">
        <v>222.8899993896484</v>
      </c>
      <c r="AT19">
        <v>222.1499938964844</v>
      </c>
      <c r="AU19">
        <v>218.4299926757812</v>
      </c>
      <c r="AV19">
        <v>225.7100067138672</v>
      </c>
      <c r="AW19">
        <v>229.4100036621094</v>
      </c>
      <c r="AX19">
        <v>228.8999938964844</v>
      </c>
      <c r="AY19">
        <v>232.8300018310547</v>
      </c>
      <c r="AZ19">
        <v>235.3500061035156</v>
      </c>
      <c r="BA19">
        <v>232.6499938964844</v>
      </c>
      <c r="BB19">
        <v>233.4799957275391</v>
      </c>
      <c r="BC19">
        <v>243.1000061035156</v>
      </c>
      <c r="BD19">
        <v>240.9799957275391</v>
      </c>
      <c r="BE19">
        <v>253.8399963378906</v>
      </c>
      <c r="BF19">
        <v>250.6900024414062</v>
      </c>
      <c r="BG19">
        <v>252.2599945068359</v>
      </c>
      <c r="BH19">
        <v>252.7299957275391</v>
      </c>
      <c r="BI19">
        <v>244.0500030517578</v>
      </c>
    </row>
    <row r="20" spans="1:61">
      <c r="A20" t="s">
        <v>19</v>
      </c>
      <c r="B20">
        <v>53.08573150634766</v>
      </c>
      <c r="C20">
        <v>52.29772186279297</v>
      </c>
      <c r="D20">
        <v>53.08573150634766</v>
      </c>
      <c r="E20">
        <v>54.54204559326172</v>
      </c>
      <c r="F20">
        <v>54.24280166625977</v>
      </c>
      <c r="G20">
        <v>58.64167785644531</v>
      </c>
      <c r="H20">
        <v>59.6690788269043</v>
      </c>
      <c r="I20">
        <v>58.5618782043457</v>
      </c>
      <c r="J20">
        <v>57.46465301513672</v>
      </c>
      <c r="K20">
        <v>55.54949569702148</v>
      </c>
      <c r="L20">
        <v>52.99595642089844</v>
      </c>
      <c r="M20">
        <v>52.75656127929688</v>
      </c>
      <c r="N20">
        <v>53.31515121459961</v>
      </c>
      <c r="O20">
        <v>52.29772186279297</v>
      </c>
      <c r="P20">
        <v>53.30517196655273</v>
      </c>
      <c r="Q20">
        <v>55.09065628051758</v>
      </c>
      <c r="R20">
        <v>54.27272796630859</v>
      </c>
      <c r="S20">
        <v>52.17802429199219</v>
      </c>
      <c r="T20">
        <v>52.10820388793945</v>
      </c>
      <c r="U20">
        <v>50.74165725708008</v>
      </c>
      <c r="V20">
        <v>51.69923782348633</v>
      </c>
      <c r="W20">
        <v>54.30265045166016</v>
      </c>
      <c r="X20">
        <v>51.86880493164062</v>
      </c>
      <c r="Y20">
        <v>55.88863754272461</v>
      </c>
      <c r="Z20">
        <v>58.75139999389648</v>
      </c>
      <c r="AA20">
        <v>55.08068466186523</v>
      </c>
      <c r="AB20">
        <v>61.933349609375</v>
      </c>
      <c r="AC20">
        <v>55.27020263671875</v>
      </c>
      <c r="AD20">
        <v>55.73901748657227</v>
      </c>
      <c r="AE20">
        <v>56.5369987487793</v>
      </c>
      <c r="AF20">
        <v>61.04000091552734</v>
      </c>
      <c r="AG20">
        <v>60.7599983215332</v>
      </c>
      <c r="AH20">
        <v>61.75</v>
      </c>
      <c r="AI20">
        <v>61.02999877929688</v>
      </c>
      <c r="AJ20">
        <v>62.33000183105469</v>
      </c>
      <c r="AK20">
        <v>63.52000045776367</v>
      </c>
      <c r="AL20">
        <v>62.93999862670898</v>
      </c>
      <c r="AM20">
        <v>62.63000106811523</v>
      </c>
      <c r="AN20">
        <v>61.4900016784668</v>
      </c>
      <c r="AO20">
        <v>63.88999938964844</v>
      </c>
      <c r="AP20">
        <v>64.58000183105469</v>
      </c>
      <c r="AQ20">
        <v>69.33000183105469</v>
      </c>
      <c r="AR20">
        <v>68.36000061035156</v>
      </c>
      <c r="AS20">
        <v>70.48000335693359</v>
      </c>
      <c r="AT20">
        <v>72.08999633789062</v>
      </c>
      <c r="AU20">
        <v>71</v>
      </c>
      <c r="AV20">
        <v>73.45999908447266</v>
      </c>
      <c r="AW20">
        <v>70.33000183105469</v>
      </c>
      <c r="AX20">
        <v>68.80999755859375</v>
      </c>
      <c r="AY20">
        <v>63.11000061035156</v>
      </c>
      <c r="AZ20">
        <v>58.63000106811523</v>
      </c>
      <c r="BA20">
        <v>55.13000106811523</v>
      </c>
      <c r="BB20">
        <v>55.86999893188477</v>
      </c>
      <c r="BC20">
        <v>56.09000015258789</v>
      </c>
      <c r="BD20">
        <v>58.16999816894531</v>
      </c>
      <c r="BE20">
        <v>55.47000122070312</v>
      </c>
      <c r="BF20">
        <v>56.68999862670898</v>
      </c>
      <c r="BG20">
        <v>58.72000122070312</v>
      </c>
      <c r="BH20">
        <v>60.84000015258789</v>
      </c>
      <c r="BI20">
        <v>60.33000183105469</v>
      </c>
    </row>
    <row r="21" spans="1:61">
      <c r="A21" t="s">
        <v>20</v>
      </c>
      <c r="B21">
        <v>893.0494384765625</v>
      </c>
      <c r="C21">
        <v>881.3312377929688</v>
      </c>
      <c r="D21">
        <v>877.4319458007812</v>
      </c>
      <c r="E21">
        <v>860.864501953125</v>
      </c>
      <c r="F21">
        <v>868.3833618164062</v>
      </c>
      <c r="G21">
        <v>911.1466064453125</v>
      </c>
      <c r="H21">
        <v>949.6805419921875</v>
      </c>
      <c r="I21">
        <v>971.507080078125</v>
      </c>
      <c r="J21">
        <v>1011.5908203125</v>
      </c>
      <c r="K21">
        <v>940.6119995117188</v>
      </c>
      <c r="L21">
        <v>936.9625244140625</v>
      </c>
      <c r="M21">
        <v>974.1766967773438</v>
      </c>
      <c r="N21">
        <v>966.6279296875</v>
      </c>
      <c r="O21">
        <v>910.2867431640625</v>
      </c>
      <c r="P21">
        <v>932.8231811523438</v>
      </c>
      <c r="Q21">
        <v>938.2523803710938</v>
      </c>
      <c r="R21">
        <v>935.2427978515625</v>
      </c>
      <c r="S21">
        <v>932.7131958007812</v>
      </c>
      <c r="T21">
        <v>958.5791015625</v>
      </c>
      <c r="U21">
        <v>933.2930908203125</v>
      </c>
      <c r="V21">
        <v>955.9295654296875</v>
      </c>
      <c r="W21">
        <v>958.0092163085938</v>
      </c>
      <c r="X21">
        <v>1016.430053710938</v>
      </c>
      <c r="Y21">
        <v>1000.102600097656</v>
      </c>
      <c r="Z21">
        <v>1027.608276367188</v>
      </c>
      <c r="AA21">
        <v>977.2561645507812</v>
      </c>
      <c r="AB21">
        <v>975.1065673828125</v>
      </c>
      <c r="AC21">
        <v>923.8846435546875</v>
      </c>
      <c r="AD21">
        <v>927.4540405273438</v>
      </c>
      <c r="AE21">
        <v>926.4041748046875</v>
      </c>
      <c r="AF21">
        <v>977.34619140625</v>
      </c>
      <c r="AG21">
        <v>1015.64013671875</v>
      </c>
      <c r="AH21">
        <v>1043.795654296875</v>
      </c>
      <c r="AI21">
        <v>1095.987548828125</v>
      </c>
      <c r="AJ21">
        <v>1071.711303710938</v>
      </c>
      <c r="AK21">
        <v>1080.359985351562</v>
      </c>
      <c r="AL21">
        <v>1082.109741210938</v>
      </c>
      <c r="AM21">
        <v>1053.814086914062</v>
      </c>
      <c r="AN21">
        <v>1064.912353515625</v>
      </c>
      <c r="AO21">
        <v>1064.9423828125</v>
      </c>
      <c r="AP21">
        <v>1097.21728515625</v>
      </c>
      <c r="AQ21">
        <v>1074.720825195312</v>
      </c>
      <c r="AR21">
        <v>1063.79248046875</v>
      </c>
      <c r="AS21">
        <v>1045.3955078125</v>
      </c>
      <c r="AT21">
        <v>1087.828857421875</v>
      </c>
      <c r="AU21">
        <v>1035.677001953125</v>
      </c>
      <c r="AV21">
        <v>1028.838134765625</v>
      </c>
      <c r="AW21">
        <v>988.8843383789062</v>
      </c>
      <c r="AX21">
        <v>953.0400390625</v>
      </c>
      <c r="AY21">
        <v>914.1300048828125</v>
      </c>
      <c r="AZ21">
        <v>931.239990234375</v>
      </c>
      <c r="BA21">
        <v>878.8400268554688</v>
      </c>
      <c r="BB21">
        <v>904.9000244140625</v>
      </c>
      <c r="BC21">
        <v>896.0700073242188</v>
      </c>
      <c r="BD21">
        <v>913.6699829101562</v>
      </c>
      <c r="BE21">
        <v>856.489990234375</v>
      </c>
      <c r="BF21">
        <v>877.5499877929688</v>
      </c>
      <c r="BG21">
        <v>903.7000122070312</v>
      </c>
      <c r="BH21">
        <v>928.760009765625</v>
      </c>
      <c r="BI21">
        <v>983.22998046875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2026-10-29T01:50:42Z</dcterms:created>
  <dcterms:modified xsi:type="dcterms:W3CDTF">2026-10-29T01:50:42Z</dcterms:modified>
</cp:coreProperties>
</file>