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</sheets>
  <definedNames>
    <definedName name="_xlnm._FilterDatabase" localSheetId="3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<sst xmlns="http://schemas.openxmlformats.org/spreadsheetml/2006/main" count="319" uniqueCount="220">
  <si>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</si>
  <si>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</si>
  <si>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</si>
  <si>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</si>
  <si>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</si>
  <si>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</si>
  <si>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</si>
  <si>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</si>
  <si>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</si>
  <si>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</si>
  <si>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</si>
  <si>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</si>
  <si>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</si>
  <si>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</si>
  <si>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</si>
  <si>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</si>
  <si>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</si>
  <si>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</si>
  <si>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Итого</t>
  </si>
  <si>
    <t>Пока нет открытых позиций — лестница только начинает набираться.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</si>
  <si>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</si>
  <si>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</si>
  <si>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</si>
  <si>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</si>
  <si>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</si>
  <si>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</si>
  <si>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</si>
  <si>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</si>
  <si>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</si>
  <si>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</si>
  <si>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</si>
  <si>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</si>
  <si>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</si>
  <si>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</si>
  <si>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</si>
  <si>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</si>
  <si>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</si>
  <si>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</si>
  <si>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</si>
  <si>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</si>
  <si>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</si>
  <si>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</si>
  <si>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</si>
  <si>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</si>
  <si>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</si>
  <si>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</si>
  <si>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</si>
  <si>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</si>
  <si>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</si>
  <si>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</si>
  <si>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</si>
  <si>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</si>
  <si>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</si>
  <si>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</si>
  <si>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DELL</t>
  </si>
  <si>
    <t>Dell Technologies</t>
  </si>
  <si>
    <t>Information Technology</t>
  </si>
  <si>
    <t>проходит</t>
  </si>
  <si>
    <t>MU</t>
  </si>
  <si>
    <t>Micron Technology</t>
  </si>
  <si>
    <t>HPE</t>
  </si>
  <si>
    <t>Hewlett Packard Enterprise</t>
  </si>
  <si>
    <t>SNDK</t>
  </si>
  <si>
    <t>Sandisk</t>
  </si>
  <si>
    <t>MRVL</t>
  </si>
  <si>
    <t>Marvell Technology</t>
  </si>
  <si>
    <t>PANW</t>
  </si>
  <si>
    <t>Palo Alto Networks</t>
  </si>
  <si>
    <t>AMD</t>
  </si>
  <si>
    <t>Advanced Micro Devices</t>
  </si>
  <si>
    <t>NTAP</t>
  </si>
  <si>
    <t>NetApp</t>
  </si>
  <si>
    <t>MRNA</t>
  </si>
  <si>
    <t>Moderna</t>
  </si>
  <si>
    <t>Health Care</t>
  </si>
  <si>
    <t>STX</t>
  </si>
  <si>
    <t>Seagate Technology</t>
  </si>
  <si>
    <t>HUM</t>
  </si>
  <si>
    <t>Humana</t>
  </si>
  <si>
    <t>FTNT</t>
  </si>
  <si>
    <t>Fortinet</t>
  </si>
  <si>
    <t>VLO</t>
  </si>
  <si>
    <t>Valero Energy</t>
  </si>
  <si>
    <t>Energy</t>
  </si>
  <si>
    <t>CRWD</t>
  </si>
  <si>
    <t>CrowdStrike</t>
  </si>
  <si>
    <t>MPC</t>
  </si>
  <si>
    <t>Marathon Petroleum</t>
  </si>
  <si>
    <t>CNC</t>
  </si>
  <si>
    <t>Centene Corporation</t>
  </si>
  <si>
    <t>DDOG</t>
  </si>
  <si>
    <t>Datadog</t>
  </si>
  <si>
    <t>AMAT</t>
  </si>
  <si>
    <t>Applied Materials</t>
  </si>
  <si>
    <t>LRCX</t>
  </si>
  <si>
    <t>Lam Research</t>
  </si>
  <si>
    <t>CRL</t>
  </si>
  <si>
    <t>Charles River Laboratories</t>
  </si>
  <si>
    <t>LITE</t>
  </si>
  <si>
    <t>Lumentum</t>
  </si>
  <si>
    <t>INTC</t>
  </si>
  <si>
    <t>Intel</t>
  </si>
  <si>
    <t>WDC</t>
  </si>
  <si>
    <t>Western Digital</t>
  </si>
  <si>
    <t>STT</t>
  </si>
  <si>
    <t>State Street Corporation</t>
  </si>
  <si>
    <t>Financials</t>
  </si>
  <si>
    <t>EXPE</t>
  </si>
  <si>
    <t>Expedia Group</t>
  </si>
  <si>
    <t>Consumer Discretionary</t>
  </si>
  <si>
    <t>TER</t>
  </si>
  <si>
    <t>Teradyne</t>
  </si>
  <si>
    <t>BBY</t>
  </si>
  <si>
    <t>Best Buy</t>
  </si>
  <si>
    <t>PSX</t>
  </si>
  <si>
    <t>Phillips 66</t>
  </si>
  <si>
    <t>ANET</t>
  </si>
  <si>
    <t>Arista Networks</t>
  </si>
  <si>
    <t>ZBRA</t>
  </si>
  <si>
    <t>Zebra Technologies</t>
  </si>
  <si>
    <t>HPQ</t>
  </si>
  <si>
    <t>HP Inc.</t>
  </si>
  <si>
    <t>TGT</t>
  </si>
  <si>
    <t>Target Corporation</t>
  </si>
  <si>
    <t>Consumer Staples</t>
  </si>
  <si>
    <t>AXON</t>
  </si>
  <si>
    <t>Axon Enterprise</t>
  </si>
  <si>
    <t>Industrials</t>
  </si>
  <si>
    <t>XYZ</t>
  </si>
  <si>
    <t>Block, Inc.</t>
  </si>
  <si>
    <t>BAX</t>
  </si>
  <si>
    <t>Baxter International</t>
  </si>
  <si>
    <t>SWK</t>
  </si>
  <si>
    <t>Stanley Black &amp; Decker</t>
  </si>
  <si>
    <t>ABNB</t>
  </si>
  <si>
    <t>Airbnb</t>
  </si>
  <si>
    <t>BNY</t>
  </si>
  <si>
    <t>BNY Mellon</t>
  </si>
  <si>
    <t>APA</t>
  </si>
  <si>
    <t>APA Corporation</t>
  </si>
  <si>
    <t>IQV</t>
  </si>
  <si>
    <t>IQVIA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</si>
  <si>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</si>
  <si>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</si>
  <si>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</si>
  <si>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</si>
  <si>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</si>
  <si>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</si>
  <si>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</si>
  <si>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</si>
  <si>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</si>
  <si>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</si>
  <si>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</si>
  <si>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</si>
  <si>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</si>
  <si>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</si>
  <si>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</si>
  <si>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</si>
  <si>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</si>
  <si>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</si>
  <si>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</si>
  <si>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</si>
  <si>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2026-08-25 01:45 UTC · данные на 2026-08-24 · стратегия «ladder-momentum-value» · все сделки виртуальные</t>
  </si>
  <si>
    <t>Доходность</t>
  </si>
  <si>
    <t>Бенчмарк SPY</t>
  </si>
  <si>
    <t>—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</si>
  <si>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</si>
  <si>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</si>
  <si>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</si>
  <si>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</si>
  <si>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</si>
  <si>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</si>
  <si>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</si>
  <si>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</si>
  <si>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</si>
  <si>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</si>
  <si>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</si>
  <si>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</si>
  <si>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</si>
  <si>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</si>
  <si>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</si>
  <si>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</si>
  <si>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</si>
  <si>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</si>
  <si>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</si>
  <si>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Как это работает и чему не стоит верить</t>
  </si>
  <si>
    <t>Параметры запуска</t>
  </si>
  <si>
    <t>Время запуска (UTC)</t>
  </si>
  <si>
    <t>2026-08-25 01:45 UTC</t>
  </si>
  <si>
    <t>Дата данных</t>
  </si>
  <si>
    <t>Тикеров во вселенной</t>
  </si>
  <si>
    <t>503</t>
  </si>
  <si>
    <t>Прошли фильтры</t>
  </si>
  <si>
    <t>501</t>
  </si>
  <si>
    <t>Кандидат дня</t>
  </si>
  <si>
    <t>Проверка Alpha Vantage</t>
  </si>
  <si>
    <t>confirmed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</si>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</sst>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%"/>
    <numFmt numFmtId="167" formatCode="yyyy-mm-dd"/>
    <numFmt numFmtId="168" formatCode="0.000"/>
    <numFmt numFmtId="169" formatCode="0.00"/>
  </numFmts>
  <fonts count="11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9"/>
      <color rgb="FF8B6D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/>
    <xf numFmtId="167" fontId="7" fillId="0" borderId="2" xfId="0" applyNumberFormat="1" applyFont="1" applyBorder="1" applyAlignment="1">
      <alignment horizontal="center"/>
    </xf>
    <xf numFmtId="168" fontId="7" fillId="0" borderId="2" xfId="0" applyNumberFormat="1" applyFont="1" applyBorder="1"/>
    <xf numFmtId="169" fontId="7" fillId="0" borderId="2" xfId="0" applyNumberFormat="1" applyFont="1" applyBorder="1"/>
    <xf numFmtId="165" fontId="7" fillId="0" borderId="2" xfId="0" applyNumberFormat="1" applyFont="1" applyBorder="1"/>
    <xf numFmtId="0" fontId="10" fillId="3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H29"/>
  <sheetViews>
    <sheetView showGridLines="0" tabSelected="1" workbookViewId="0"/>
  </sheetViews>
  <sheetFormatPr defaultRowHeight="15"/>
  <cols>
    <col min="1" max="1" width="2.7109375" customWidth="1"/>
    <col min="2" max="9" width="15.7109375" customWidth="1"/>
  </cols>
  <sheetData>
    <row r="2" spans="2:8">
      <c r="B2" s="1" t="s">
        <v>161</v>
      </c>
    </row>
    <row r="3" spans="2:8">
      <c r="B3" s="2" t="s">
        <v>162</v>
      </c>
    </row>
    <row r="5" spans="2:8">
      <c r="B5" s="3" t="s">
        <v>35</v>
      </c>
      <c r="D5" s="3" t="s">
        <v>163</v>
      </c>
      <c r="F5" s="3" t="s">
        <v>164</v>
      </c>
      <c r="H5" s="3" t="s">
        <v>166</v>
      </c>
    </row>
    <row r="6" spans="2:8">
      <c r="B6" s="4">
        <v>10000</v>
      </c>
      <c r="D6" s="5">
        <v>0</v>
      </c>
      <c r="F6" s="6" t="s">
        <v>165</v>
      </c>
      <c r="H6" s="7">
        <v>0</v>
      </c>
    </row>
    <row r="8" spans="2:8">
      <c r="B8" s="3" t="s">
        <v>167</v>
      </c>
      <c r="D8" s="3" t="s">
        <v>168</v>
      </c>
      <c r="F8" s="3" t="s">
        <v>169</v>
      </c>
      <c r="H8" s="3" t="s">
        <v>170</v>
      </c>
    </row>
    <row r="9" spans="2:8">
      <c r="B9" s="6" t="s">
        <v>165</v>
      </c>
      <c r="D9" s="6">
        <v>0</v>
      </c>
      <c r="F9" s="6" t="s">
        <v>165</v>
      </c>
      <c r="H9" s="6">
        <v>0</v>
      </c>
    </row>
    <row r="12" spans="2:8">
      <c r="B12" s="8" t="s">
        <v>171</v>
      </c>
    </row>
    <row r="13" spans="2:8">
      <c r="B13" s="9" t="s">
        <v>33</v>
      </c>
      <c r="C13" s="10">
        <v>10000</v>
      </c>
    </row>
    <row r="14" spans="2:8">
      <c r="B14" s="9" t="s">
        <v>34</v>
      </c>
      <c r="C14" s="10">
        <v>0</v>
      </c>
    </row>
    <row r="15" spans="2:8">
      <c r="B15" s="9" t="s">
        <v>35</v>
      </c>
      <c r="C15" s="10">
        <v>10000</v>
      </c>
    </row>
    <row r="16" spans="2:8">
      <c r="B16" s="9" t="s">
        <v>172</v>
      </c>
      <c r="C16" s="10">
        <v>10000</v>
      </c>
    </row>
    <row r="17" spans="2:3">
      <c r="B17" s="9" t="s">
        <v>173</v>
      </c>
      <c r="C17" s="11">
        <v>21</v>
      </c>
    </row>
    <row r="18" spans="2:3">
      <c r="B18" s="9" t="s">
        <v>174</v>
      </c>
      <c r="C18" s="11">
        <v>20</v>
      </c>
    </row>
    <row r="19" spans="2:3">
      <c r="B19" s="9" t="s">
        <v>175</v>
      </c>
      <c r="C19" s="11">
        <v>1</v>
      </c>
    </row>
    <row r="20" spans="2:3">
      <c r="B20" s="9" t="s">
        <v>176</v>
      </c>
      <c r="C20" s="11">
        <v>21</v>
      </c>
    </row>
    <row r="21" spans="2:3">
      <c r="B21" s="9" t="s">
        <v>177</v>
      </c>
      <c r="C21" s="9" t="s">
        <v>165</v>
      </c>
    </row>
    <row r="22" spans="2:3">
      <c r="B22" s="9" t="s">
        <v>178</v>
      </c>
      <c r="C22" s="9" t="s">
        <v>165</v>
      </c>
    </row>
    <row r="23" spans="2:3">
      <c r="B23" s="9" t="s">
        <v>179</v>
      </c>
      <c r="C23" s="9" t="s">
        <v>165</v>
      </c>
    </row>
    <row r="24" spans="2:3">
      <c r="B24" s="9" t="s">
        <v>180</v>
      </c>
      <c r="C24" s="9" t="s">
        <v>165</v>
      </c>
    </row>
    <row r="25" spans="2:3">
      <c r="B25" s="9" t="s">
        <v>181</v>
      </c>
      <c r="C25" s="9" t="s">
        <v>165</v>
      </c>
    </row>
    <row r="26" spans="2:3">
      <c r="B26" s="9" t="s">
        <v>182</v>
      </c>
      <c r="C26" s="11">
        <v>1</v>
      </c>
    </row>
    <row r="28" spans="2:3">
      <c r="B28" s="12" t="s">
        <v>183</v>
      </c>
      <c r="C28" s="10">
        <f>C13+IFERROR(SUM('Позиции'!I5:I200),0)</f>
        <v>10000.0</v>
      </c>
    </row>
    <row r="29" spans="2:3">
      <c r="B29" s="13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>
      <c r="A1" s="1" t="s">
        <v>0</v>
      </c>
    </row>
    <row r="2" spans="1:16">
      <c r="A2" s="2" t="s">
        <v>1</v>
      </c>
    </row>
    <row r="4" spans="1:16" ht="30" customHeight="1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4" t="s">
        <v>10</v>
      </c>
      <c r="J4" s="14" t="s">
        <v>11</v>
      </c>
      <c r="K4" s="14" t="s">
        <v>12</v>
      </c>
      <c r="L4" s="14" t="s">
        <v>13</v>
      </c>
      <c r="M4" s="14" t="s">
        <v>14</v>
      </c>
      <c r="N4" s="14" t="s">
        <v>15</v>
      </c>
      <c r="O4" s="14" t="s">
        <v>16</v>
      </c>
      <c r="P4" s="14" t="s">
        <v>17</v>
      </c>
    </row>
    <row r="5" spans="1:16">
      <c r="A5" s="13" t="s">
        <v>19</v>
      </c>
    </row>
    <row r="6" spans="1:16">
      <c r="F6" s="12" t="s">
        <v>18</v>
      </c>
      <c r="G6" s="10">
        <f>SUM(G5:G5)</f>
        <v>0</v>
      </c>
      <c r="I6" s="10">
        <f>SUM(I5:I5)</f>
        <v>0</v>
      </c>
      <c r="J6" s="10">
        <f>SUM(J5:J5)</f>
        <v>0</v>
      </c>
      <c r="K6" s="15">
        <f>IFERROR(J6/G6,0)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20</v>
      </c>
    </row>
    <row r="2" spans="1:15">
      <c r="A2" s="2" t="s">
        <v>21</v>
      </c>
    </row>
    <row r="4" spans="1:15" ht="30" customHeight="1">
      <c r="A4" s="14" t="s">
        <v>22</v>
      </c>
      <c r="B4" s="14" t="s">
        <v>2</v>
      </c>
      <c r="C4" s="14" t="s">
        <v>4</v>
      </c>
      <c r="D4" s="14" t="s">
        <v>23</v>
      </c>
      <c r="E4" s="14" t="s">
        <v>6</v>
      </c>
      <c r="F4" s="14" t="s">
        <v>24</v>
      </c>
      <c r="G4" s="14" t="s">
        <v>25</v>
      </c>
      <c r="H4" s="14" t="s">
        <v>7</v>
      </c>
      <c r="I4" s="14" t="s">
        <v>8</v>
      </c>
      <c r="J4" s="14" t="s">
        <v>26</v>
      </c>
      <c r="K4" s="14" t="s">
        <v>11</v>
      </c>
      <c r="L4" s="14" t="s">
        <v>12</v>
      </c>
      <c r="M4" s="14" t="s">
        <v>27</v>
      </c>
      <c r="N4" s="14" t="s">
        <v>15</v>
      </c>
      <c r="O4" s="14" t="s">
        <v>28</v>
      </c>
    </row>
    <row r="5" spans="1:15">
      <c r="A5" s="13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30</v>
      </c>
    </row>
    <row r="2" spans="1:6">
      <c r="A2" s="2" t="s">
        <v>31</v>
      </c>
    </row>
    <row r="4" spans="1:6" ht="30" customHeight="1">
      <c r="A4" s="14" t="s">
        <v>32</v>
      </c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</row>
    <row r="5" spans="1:6">
      <c r="A5" s="16" t="s">
        <v>38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39</v>
      </c>
    </row>
    <row r="2" spans="1:17" x14ac:dyDescent="0.25">
      <c r="A2" s="2" t="s">
        <v>40</v>
      </c>
    </row>
    <row r="4" spans="1:17" ht="30" customHeight="1" x14ac:dyDescent="0.25">
      <c r="A4" s="14" t="s">
        <v>22</v>
      </c>
      <c r="B4" s="14" t="s">
        <v>2</v>
      </c>
      <c r="C4" s="14" t="s">
        <v>3</v>
      </c>
      <c r="D4" s="14" t="s">
        <v>4</v>
      </c>
      <c r="E4" s="14" t="s">
        <v>41</v>
      </c>
      <c r="F4" s="14" t="s">
        <v>42</v>
      </c>
      <c r="G4" s="14" t="s">
        <v>43</v>
      </c>
      <c r="H4" s="14" t="s">
        <v>44</v>
      </c>
      <c r="I4" s="14" t="s">
        <v>45</v>
      </c>
      <c r="J4" s="14" t="s">
        <v>46</v>
      </c>
      <c r="K4" s="14" t="s">
        <v>47</v>
      </c>
      <c r="L4" s="14" t="s">
        <v>48</v>
      </c>
      <c r="M4" s="14" t="s">
        <v>49</v>
      </c>
      <c r="N4" s="14" t="s">
        <v>50</v>
      </c>
      <c r="O4" s="14" t="s">
        <v>51</v>
      </c>
      <c r="P4" s="14" t="s">
        <v>52</v>
      </c>
      <c r="Q4" s="14" t="s">
        <v>53</v>
      </c>
    </row>
    <row r="5" spans="1:17" x14ac:dyDescent="0.25">
      <c r="A5" s="11">
        <v>1</v>
      </c>
      <c r="B5" s="9" t="s">
        <v>54</v>
      </c>
      <c r="C5" s="9" t="s">
        <v>55</v>
      </c>
      <c r="D5" s="9" t="s">
        <v>56</v>
      </c>
      <c r="E5" s="10">
        <v>433.1900024414062</v>
      </c>
      <c r="F5" s="17">
        <v>2.927623067210654</v>
      </c>
      <c r="G5" s="18">
        <v>0</v>
      </c>
      <c r="H5" s="18">
        <v>0</v>
      </c>
      <c r="I5" s="18">
        <v>0</v>
      </c>
      <c r="J5" s="18">
        <v>2.927623067210654</v>
      </c>
      <c r="K5" s="18">
        <v>0</v>
      </c>
      <c r="L5" s="18">
        <v>0</v>
      </c>
      <c r="M5" s="19">
        <v>0</v>
      </c>
      <c r="N5" s="19">
        <v>0</v>
      </c>
      <c r="O5" s="19">
        <v>2.65325152696871</v>
      </c>
      <c r="P5" s="11">
        <v>48.12217305711359</v>
      </c>
      <c r="Q5" s="9" t="s">
        <v>57</v>
      </c>
    </row>
    <row r="6" spans="1:17" x14ac:dyDescent="0.25">
      <c r="A6" s="11">
        <v>2</v>
      </c>
      <c r="B6" s="9" t="s">
        <v>58</v>
      </c>
      <c r="C6" s="9" t="s">
        <v>59</v>
      </c>
      <c r="D6" s="9" t="s">
        <v>56</v>
      </c>
      <c r="E6" s="10">
        <v>910.4299926757812</v>
      </c>
      <c r="F6" s="17">
        <v>2.643241101110455</v>
      </c>
      <c r="G6" s="18">
        <v>0</v>
      </c>
      <c r="H6" s="18">
        <v>0</v>
      </c>
      <c r="I6" s="18">
        <v>0</v>
      </c>
      <c r="J6" s="18">
        <v>2.643241101110455</v>
      </c>
      <c r="K6" s="18">
        <v>0</v>
      </c>
      <c r="L6" s="18">
        <v>0</v>
      </c>
      <c r="M6" s="19">
        <v>0</v>
      </c>
      <c r="N6" s="19">
        <v>0</v>
      </c>
      <c r="O6" s="19">
        <v>1.163936978037537</v>
      </c>
      <c r="P6" s="11">
        <v>48.50420618541599</v>
      </c>
      <c r="Q6" s="9" t="s">
        <v>57</v>
      </c>
    </row>
    <row r="7" spans="1:17" x14ac:dyDescent="0.25">
      <c r="A7" s="11">
        <v>3</v>
      </c>
      <c r="B7" s="9" t="s">
        <v>60</v>
      </c>
      <c r="C7" s="9" t="s">
        <v>61</v>
      </c>
      <c r="D7" s="9" t="s">
        <v>56</v>
      </c>
      <c r="E7" s="10">
        <v>52.43000030517578</v>
      </c>
      <c r="F7" s="17">
        <v>2.503268744489996</v>
      </c>
      <c r="G7" s="18">
        <v>0</v>
      </c>
      <c r="H7" s="18">
        <v>0</v>
      </c>
      <c r="I7" s="18">
        <v>0</v>
      </c>
      <c r="J7" s="18">
        <v>2.503268744489996</v>
      </c>
      <c r="K7" s="18">
        <v>0</v>
      </c>
      <c r="L7" s="18">
        <v>0</v>
      </c>
      <c r="M7" s="19">
        <v>0</v>
      </c>
      <c r="N7" s="19">
        <v>0</v>
      </c>
      <c r="O7" s="19">
        <v>1.646122947151413</v>
      </c>
      <c r="P7" s="11">
        <v>50.99046117728734</v>
      </c>
      <c r="Q7" s="9" t="s">
        <v>57</v>
      </c>
    </row>
    <row r="8" spans="1:17" x14ac:dyDescent="0.25">
      <c r="A8" s="11">
        <v>4</v>
      </c>
      <c r="B8" s="9" t="s">
        <v>62</v>
      </c>
      <c r="C8" s="9" t="s">
        <v>63</v>
      </c>
      <c r="D8" s="9" t="s">
        <v>56</v>
      </c>
      <c r="E8" s="10">
        <v>1493.119995117188</v>
      </c>
      <c r="F8" s="17">
        <v>2.411341743866761</v>
      </c>
      <c r="G8" s="18">
        <v>0</v>
      </c>
      <c r="H8" s="18">
        <v>0</v>
      </c>
      <c r="I8" s="18">
        <v>0</v>
      </c>
      <c r="J8" s="18">
        <v>2.411341743866761</v>
      </c>
      <c r="K8" s="18">
        <v>0</v>
      </c>
      <c r="L8" s="18">
        <v>0</v>
      </c>
      <c r="M8" s="19">
        <v>0</v>
      </c>
      <c r="N8" s="19">
        <v>0</v>
      </c>
      <c r="O8" s="19">
        <v>1.240273698022266</v>
      </c>
      <c r="P8" s="11">
        <v>49.65261358881916</v>
      </c>
      <c r="Q8" s="9" t="s">
        <v>57</v>
      </c>
    </row>
    <row r="9" spans="1:17" x14ac:dyDescent="0.25">
      <c r="A9" s="11">
        <v>5</v>
      </c>
      <c r="B9" s="9" t="s">
        <v>64</v>
      </c>
      <c r="C9" s="9" t="s">
        <v>65</v>
      </c>
      <c r="D9" s="9" t="s">
        <v>56</v>
      </c>
      <c r="E9" s="10">
        <v>229.2899932861328</v>
      </c>
      <c r="F9" s="17">
        <v>2.344826632872142</v>
      </c>
      <c r="G9" s="18">
        <v>0</v>
      </c>
      <c r="H9" s="18">
        <v>0</v>
      </c>
      <c r="I9" s="18">
        <v>0</v>
      </c>
      <c r="J9" s="18">
        <v>2.344826632872142</v>
      </c>
      <c r="K9" s="18">
        <v>0</v>
      </c>
      <c r="L9" s="18">
        <v>0</v>
      </c>
      <c r="M9" s="19">
        <v>0</v>
      </c>
      <c r="N9" s="19">
        <v>0</v>
      </c>
      <c r="O9" s="19">
        <v>1.94975401620419</v>
      </c>
      <c r="P9" s="11">
        <v>52.93087457868494</v>
      </c>
      <c r="Q9" s="9" t="s">
        <v>57</v>
      </c>
    </row>
    <row r="10" spans="1:17" x14ac:dyDescent="0.25">
      <c r="A10" s="11">
        <v>6</v>
      </c>
      <c r="B10" s="9" t="s">
        <v>66</v>
      </c>
      <c r="C10" s="9" t="s">
        <v>67</v>
      </c>
      <c r="D10" s="9" t="s">
        <v>56</v>
      </c>
      <c r="E10" s="10">
        <v>350.8999938964844</v>
      </c>
      <c r="F10" s="17">
        <v>2.228082689538791</v>
      </c>
      <c r="G10" s="18">
        <v>0</v>
      </c>
      <c r="H10" s="18">
        <v>0</v>
      </c>
      <c r="I10" s="18">
        <v>0</v>
      </c>
      <c r="J10" s="18">
        <v>2.228082689538791</v>
      </c>
      <c r="K10" s="18">
        <v>0</v>
      </c>
      <c r="L10" s="18">
        <v>0</v>
      </c>
      <c r="M10" s="19">
        <v>0</v>
      </c>
      <c r="N10" s="19">
        <v>0</v>
      </c>
      <c r="O10" s="19">
        <v>1.434438708077896</v>
      </c>
      <c r="P10" s="11">
        <v>48.50221508567612</v>
      </c>
      <c r="Q10" s="9" t="s">
        <v>57</v>
      </c>
    </row>
    <row r="11" spans="1:17" x14ac:dyDescent="0.25">
      <c r="A11" s="11">
        <v>7</v>
      </c>
      <c r="B11" s="9" t="s">
        <v>68</v>
      </c>
      <c r="C11" s="9" t="s">
        <v>69</v>
      </c>
      <c r="D11" s="9" t="s">
        <v>56</v>
      </c>
      <c r="E11" s="10">
        <v>456.7449951171875</v>
      </c>
      <c r="F11" s="17">
        <v>1.996587708354377</v>
      </c>
      <c r="G11" s="18">
        <v>0</v>
      </c>
      <c r="H11" s="18">
        <v>0</v>
      </c>
      <c r="I11" s="18">
        <v>0</v>
      </c>
      <c r="J11" s="18">
        <v>1.996587708354377</v>
      </c>
      <c r="K11" s="18">
        <v>0</v>
      </c>
      <c r="L11" s="18">
        <v>0</v>
      </c>
      <c r="M11" s="19">
        <v>0</v>
      </c>
      <c r="N11" s="19">
        <v>0</v>
      </c>
      <c r="O11" s="19">
        <v>1.323219638542117</v>
      </c>
      <c r="P11" s="11">
        <v>42.45523546943802</v>
      </c>
      <c r="Q11" s="9" t="s">
        <v>57</v>
      </c>
    </row>
    <row r="12" spans="1:17" x14ac:dyDescent="0.25">
      <c r="A12" s="11">
        <v>8</v>
      </c>
      <c r="B12" s="9" t="s">
        <v>70</v>
      </c>
      <c r="C12" s="9" t="s">
        <v>71</v>
      </c>
      <c r="D12" s="9" t="s">
        <v>56</v>
      </c>
      <c r="E12" s="10">
        <v>186.8600006103516</v>
      </c>
      <c r="F12" s="17">
        <v>1.975017261269628</v>
      </c>
      <c r="G12" s="18">
        <v>0</v>
      </c>
      <c r="H12" s="18">
        <v>0</v>
      </c>
      <c r="I12" s="18">
        <v>0</v>
      </c>
      <c r="J12" s="18">
        <v>1.975017261269628</v>
      </c>
      <c r="K12" s="18">
        <v>0</v>
      </c>
      <c r="L12" s="18">
        <v>0</v>
      </c>
      <c r="M12" s="19">
        <v>0</v>
      </c>
      <c r="N12" s="19">
        <v>0</v>
      </c>
      <c r="O12" s="19">
        <v>0.8739438169897173</v>
      </c>
      <c r="P12" s="11">
        <v>50.33060678343458</v>
      </c>
      <c r="Q12" s="9" t="s">
        <v>57</v>
      </c>
    </row>
    <row r="13" spans="1:17" x14ac:dyDescent="0.25">
      <c r="A13" s="11">
        <v>9</v>
      </c>
      <c r="B13" s="9" t="s">
        <v>72</v>
      </c>
      <c r="C13" s="9" t="s">
        <v>73</v>
      </c>
      <c r="D13" s="9" t="s">
        <v>74</v>
      </c>
      <c r="E13" s="10">
        <v>138.8899993896484</v>
      </c>
      <c r="F13" s="17">
        <v>1.926929807705512</v>
      </c>
      <c r="G13" s="18">
        <v>0</v>
      </c>
      <c r="H13" s="18">
        <v>0</v>
      </c>
      <c r="I13" s="18">
        <v>0</v>
      </c>
      <c r="J13" s="18">
        <v>1.926929807705512</v>
      </c>
      <c r="K13" s="18">
        <v>0</v>
      </c>
      <c r="L13" s="18">
        <v>0</v>
      </c>
      <c r="M13" s="19">
        <v>0</v>
      </c>
      <c r="N13" s="19">
        <v>0</v>
      </c>
      <c r="O13" s="19">
        <v>1.761781603920499</v>
      </c>
      <c r="P13" s="11">
        <v>68.82090494360882</v>
      </c>
      <c r="Q13" s="9" t="s">
        <v>57</v>
      </c>
    </row>
    <row r="14" spans="1:17" x14ac:dyDescent="0.25">
      <c r="A14" s="11">
        <v>10</v>
      </c>
      <c r="B14" s="9" t="s">
        <v>75</v>
      </c>
      <c r="C14" s="9" t="s">
        <v>76</v>
      </c>
      <c r="D14" s="9" t="s">
        <v>56</v>
      </c>
      <c r="E14" s="10">
        <v>794.6500244140625</v>
      </c>
      <c r="F14" s="17">
        <v>1.911603056571496</v>
      </c>
      <c r="G14" s="18">
        <v>0</v>
      </c>
      <c r="H14" s="18">
        <v>0</v>
      </c>
      <c r="I14" s="18">
        <v>0</v>
      </c>
      <c r="J14" s="18">
        <v>1.911603056571496</v>
      </c>
      <c r="K14" s="18">
        <v>0</v>
      </c>
      <c r="L14" s="18">
        <v>0</v>
      </c>
      <c r="M14" s="19">
        <v>0</v>
      </c>
      <c r="N14" s="19">
        <v>0</v>
      </c>
      <c r="O14" s="19">
        <v>0.955335838763572</v>
      </c>
      <c r="P14" s="11">
        <v>43.24681730723569</v>
      </c>
      <c r="Q14" s="9" t="s">
        <v>57</v>
      </c>
    </row>
    <row r="15" spans="1:17" x14ac:dyDescent="0.25">
      <c r="A15" s="11">
        <v>11</v>
      </c>
      <c r="B15" s="9" t="s">
        <v>77</v>
      </c>
      <c r="C15" s="9" t="s">
        <v>78</v>
      </c>
      <c r="D15" s="9" t="s">
        <v>74</v>
      </c>
      <c r="E15" s="10">
        <v>386.6099853515625</v>
      </c>
      <c r="F15" s="17">
        <v>1.788136975206289</v>
      </c>
      <c r="G15" s="18">
        <v>0</v>
      </c>
      <c r="H15" s="18">
        <v>0</v>
      </c>
      <c r="I15" s="18">
        <v>0</v>
      </c>
      <c r="J15" s="18">
        <v>1.788136975206289</v>
      </c>
      <c r="K15" s="18">
        <v>0</v>
      </c>
      <c r="L15" s="18">
        <v>0</v>
      </c>
      <c r="M15" s="19">
        <v>0</v>
      </c>
      <c r="N15" s="19">
        <v>0</v>
      </c>
      <c r="O15" s="19">
        <v>1.149979316410551</v>
      </c>
      <c r="P15" s="11">
        <v>53.79195071588038</v>
      </c>
      <c r="Q15" s="9" t="s">
        <v>57</v>
      </c>
    </row>
    <row r="16" spans="1:17" x14ac:dyDescent="0.25">
      <c r="A16" s="11">
        <v>12</v>
      </c>
      <c r="B16" s="9" t="s">
        <v>79</v>
      </c>
      <c r="C16" s="9" t="s">
        <v>80</v>
      </c>
      <c r="D16" s="9" t="s">
        <v>56</v>
      </c>
      <c r="E16" s="10">
        <v>151.9900054931641</v>
      </c>
      <c r="F16" s="17">
        <v>1.715569729322309</v>
      </c>
      <c r="G16" s="18">
        <v>0</v>
      </c>
      <c r="H16" s="18">
        <v>0</v>
      </c>
      <c r="I16" s="18">
        <v>0</v>
      </c>
      <c r="J16" s="18">
        <v>1.715569729322309</v>
      </c>
      <c r="K16" s="18">
        <v>0</v>
      </c>
      <c r="L16" s="18">
        <v>0</v>
      </c>
      <c r="M16" s="19">
        <v>0</v>
      </c>
      <c r="N16" s="19">
        <v>0</v>
      </c>
      <c r="O16" s="19">
        <v>1.010449848688718</v>
      </c>
      <c r="P16" s="11">
        <v>44.16000885554509</v>
      </c>
      <c r="Q16" s="9" t="s">
        <v>57</v>
      </c>
    </row>
    <row r="17" spans="1:17" x14ac:dyDescent="0.25">
      <c r="A17" s="11">
        <v>13</v>
      </c>
      <c r="B17" s="9" t="s">
        <v>81</v>
      </c>
      <c r="C17" s="9" t="s">
        <v>82</v>
      </c>
      <c r="D17" s="9" t="s">
        <v>83</v>
      </c>
      <c r="E17" s="10">
        <v>346</v>
      </c>
      <c r="F17" s="17">
        <v>1.672889251711891</v>
      </c>
      <c r="G17" s="18">
        <v>0</v>
      </c>
      <c r="H17" s="18">
        <v>0</v>
      </c>
      <c r="I17" s="18">
        <v>0</v>
      </c>
      <c r="J17" s="18">
        <v>1.672889251711891</v>
      </c>
      <c r="K17" s="18">
        <v>0</v>
      </c>
      <c r="L17" s="18">
        <v>0</v>
      </c>
      <c r="M17" s="19">
        <v>0</v>
      </c>
      <c r="N17" s="19">
        <v>0</v>
      </c>
      <c r="O17" s="19">
        <v>0.76800953419441</v>
      </c>
      <c r="P17" s="11">
        <v>68.02404277435744</v>
      </c>
      <c r="Q17" s="9" t="s">
        <v>57</v>
      </c>
    </row>
    <row r="18" spans="1:17" x14ac:dyDescent="0.25">
      <c r="A18" s="11">
        <v>14</v>
      </c>
      <c r="B18" s="9" t="s">
        <v>84</v>
      </c>
      <c r="C18" s="9" t="s">
        <v>85</v>
      </c>
      <c r="D18" s="9" t="s">
        <v>56</v>
      </c>
      <c r="E18" s="10">
        <v>190.6799926757812</v>
      </c>
      <c r="F18" s="17">
        <v>1.615636897060923</v>
      </c>
      <c r="G18" s="18">
        <v>0</v>
      </c>
      <c r="H18" s="18">
        <v>0</v>
      </c>
      <c r="I18" s="18">
        <v>0</v>
      </c>
      <c r="J18" s="18">
        <v>1.615636897060923</v>
      </c>
      <c r="K18" s="18">
        <v>0</v>
      </c>
      <c r="L18" s="18">
        <v>0</v>
      </c>
      <c r="M18" s="19">
        <v>0</v>
      </c>
      <c r="N18" s="19">
        <v>0</v>
      </c>
      <c r="O18" s="19">
        <v>1.177147260974738</v>
      </c>
      <c r="P18" s="11">
        <v>42.01199624206358</v>
      </c>
      <c r="Q18" s="9" t="s">
        <v>57</v>
      </c>
    </row>
    <row r="19" spans="1:17" x14ac:dyDescent="0.25">
      <c r="A19" s="11">
        <v>15</v>
      </c>
      <c r="B19" s="9" t="s">
        <v>86</v>
      </c>
      <c r="C19" s="9" t="s">
        <v>87</v>
      </c>
      <c r="D19" s="9" t="s">
        <v>83</v>
      </c>
      <c r="E19" s="10">
        <v>362.5199890136719</v>
      </c>
      <c r="F19" s="17">
        <v>1.524297500739992</v>
      </c>
      <c r="G19" s="18">
        <v>0</v>
      </c>
      <c r="H19" s="18">
        <v>0</v>
      </c>
      <c r="I19" s="18">
        <v>0</v>
      </c>
      <c r="J19" s="18">
        <v>1.524297500739992</v>
      </c>
      <c r="K19" s="18">
        <v>0</v>
      </c>
      <c r="L19" s="18">
        <v>0</v>
      </c>
      <c r="M19" s="19">
        <v>0</v>
      </c>
      <c r="N19" s="19">
        <v>0</v>
      </c>
      <c r="O19" s="19">
        <v>0.8924383427038787</v>
      </c>
      <c r="P19" s="11">
        <v>72.85363619293068</v>
      </c>
      <c r="Q19" s="9" t="s">
        <v>57</v>
      </c>
    </row>
    <row r="20" spans="1:17" x14ac:dyDescent="0.25">
      <c r="A20" s="11">
        <v>16</v>
      </c>
      <c r="B20" s="9" t="s">
        <v>88</v>
      </c>
      <c r="C20" s="9" t="s">
        <v>89</v>
      </c>
      <c r="D20" s="9" t="s">
        <v>74</v>
      </c>
      <c r="E20" s="10">
        <v>65.65000152587891</v>
      </c>
      <c r="F20" s="17">
        <v>1.39785626987297</v>
      </c>
      <c r="G20" s="18">
        <v>0</v>
      </c>
      <c r="H20" s="18">
        <v>0</v>
      </c>
      <c r="I20" s="18">
        <v>0</v>
      </c>
      <c r="J20" s="18">
        <v>1.39785626987297</v>
      </c>
      <c r="K20" s="18">
        <v>0</v>
      </c>
      <c r="L20" s="18">
        <v>0</v>
      </c>
      <c r="M20" s="19">
        <v>0</v>
      </c>
      <c r="N20" s="19">
        <v>0</v>
      </c>
      <c r="O20" s="19">
        <v>0.5147669888035027</v>
      </c>
      <c r="P20" s="11">
        <v>52.01048816945075</v>
      </c>
      <c r="Q20" s="9" t="s">
        <v>57</v>
      </c>
    </row>
    <row r="21" spans="1:17" x14ac:dyDescent="0.25">
      <c r="A21" s="11">
        <v>17</v>
      </c>
      <c r="B21" s="9" t="s">
        <v>90</v>
      </c>
      <c r="C21" s="9" t="s">
        <v>91</v>
      </c>
      <c r="D21" s="9" t="s">
        <v>56</v>
      </c>
      <c r="E21" s="10">
        <v>225.7700042724609</v>
      </c>
      <c r="F21" s="17">
        <v>1.328564471421659</v>
      </c>
      <c r="G21" s="18">
        <v>0</v>
      </c>
      <c r="H21" s="18">
        <v>0</v>
      </c>
      <c r="I21" s="18">
        <v>0</v>
      </c>
      <c r="J21" s="18">
        <v>1.328564471421659</v>
      </c>
      <c r="K21" s="18">
        <v>0</v>
      </c>
      <c r="L21" s="18">
        <v>0</v>
      </c>
      <c r="M21" s="19">
        <v>0</v>
      </c>
      <c r="N21" s="19">
        <v>0</v>
      </c>
      <c r="O21" s="19">
        <v>1.200165755226059</v>
      </c>
      <c r="P21" s="11">
        <v>40.22839901593114</v>
      </c>
      <c r="Q21" s="9" t="s">
        <v>57</v>
      </c>
    </row>
    <row r="22" spans="1:17" x14ac:dyDescent="0.25">
      <c r="A22" s="11">
        <v>18</v>
      </c>
      <c r="B22" s="9" t="s">
        <v>92</v>
      </c>
      <c r="C22" s="9" t="s">
        <v>93</v>
      </c>
      <c r="D22" s="9" t="s">
        <v>56</v>
      </c>
      <c r="E22" s="10">
        <v>484.1900024414062</v>
      </c>
      <c r="F22" s="17">
        <v>1.299849221937076</v>
      </c>
      <c r="G22" s="18">
        <v>0</v>
      </c>
      <c r="H22" s="18">
        <v>0</v>
      </c>
      <c r="I22" s="18">
        <v>0</v>
      </c>
      <c r="J22" s="18">
        <v>1.299849221937076</v>
      </c>
      <c r="K22" s="18">
        <v>0</v>
      </c>
      <c r="L22" s="18">
        <v>0</v>
      </c>
      <c r="M22" s="19">
        <v>0</v>
      </c>
      <c r="N22" s="19">
        <v>0</v>
      </c>
      <c r="O22" s="19">
        <v>0.2991844486375093</v>
      </c>
      <c r="P22" s="11">
        <v>41.81854373917025</v>
      </c>
      <c r="Q22" s="9" t="s">
        <v>57</v>
      </c>
    </row>
    <row r="23" spans="1:17" x14ac:dyDescent="0.25">
      <c r="A23" s="11">
        <v>19</v>
      </c>
      <c r="B23" s="9" t="s">
        <v>94</v>
      </c>
      <c r="C23" s="9" t="s">
        <v>95</v>
      </c>
      <c r="D23" s="9" t="s">
        <v>56</v>
      </c>
      <c r="E23" s="10">
        <v>310.1700134277344</v>
      </c>
      <c r="F23" s="17">
        <v>1.276976108768788</v>
      </c>
      <c r="G23" s="18">
        <v>0</v>
      </c>
      <c r="H23" s="18">
        <v>0</v>
      </c>
      <c r="I23" s="18">
        <v>0</v>
      </c>
      <c r="J23" s="18">
        <v>1.276976108768788</v>
      </c>
      <c r="K23" s="18">
        <v>0</v>
      </c>
      <c r="L23" s="18">
        <v>0</v>
      </c>
      <c r="M23" s="19">
        <v>0</v>
      </c>
      <c r="N23" s="19">
        <v>0</v>
      </c>
      <c r="O23" s="19">
        <v>0.2827026579511238</v>
      </c>
      <c r="P23" s="11">
        <v>47.20316216932195</v>
      </c>
      <c r="Q23" s="9" t="s">
        <v>57</v>
      </c>
    </row>
    <row r="24" spans="1:17" x14ac:dyDescent="0.25">
      <c r="A24" s="11">
        <v>20</v>
      </c>
      <c r="B24" s="9" t="s">
        <v>96</v>
      </c>
      <c r="C24" s="9" t="s">
        <v>97</v>
      </c>
      <c r="D24" s="9" t="s">
        <v>74</v>
      </c>
      <c r="E24" s="10">
        <v>298.5799865722656</v>
      </c>
      <c r="F24" s="17">
        <v>1.265890125100229</v>
      </c>
      <c r="G24" s="18">
        <v>0</v>
      </c>
      <c r="H24" s="18">
        <v>0</v>
      </c>
      <c r="I24" s="18">
        <v>0</v>
      </c>
      <c r="J24" s="18">
        <v>1.265890125100229</v>
      </c>
      <c r="K24" s="18">
        <v>0</v>
      </c>
      <c r="L24" s="18">
        <v>0</v>
      </c>
      <c r="M24" s="19">
        <v>0</v>
      </c>
      <c r="N24" s="19">
        <v>0</v>
      </c>
      <c r="O24" s="19">
        <v>0.8259538819162733</v>
      </c>
      <c r="P24" s="11">
        <v>77.41667014026935</v>
      </c>
      <c r="Q24" s="9" t="s">
        <v>57</v>
      </c>
    </row>
    <row r="25" spans="1:17" x14ac:dyDescent="0.25">
      <c r="A25" s="11">
        <v>21</v>
      </c>
      <c r="B25" s="9" t="s">
        <v>98</v>
      </c>
      <c r="C25" s="9" t="s">
        <v>99</v>
      </c>
      <c r="D25" s="9" t="s">
        <v>56</v>
      </c>
      <c r="E25" s="10">
        <v>830.1699829101562</v>
      </c>
      <c r="F25" s="17">
        <v>1.230931428907135</v>
      </c>
      <c r="G25" s="18">
        <v>0</v>
      </c>
      <c r="H25" s="18">
        <v>0</v>
      </c>
      <c r="I25" s="18">
        <v>0</v>
      </c>
      <c r="J25" s="18">
        <v>1.230931428907135</v>
      </c>
      <c r="K25" s="18">
        <v>0</v>
      </c>
      <c r="L25" s="18">
        <v>0</v>
      </c>
      <c r="M25" s="19">
        <v>0</v>
      </c>
      <c r="N25" s="19">
        <v>0</v>
      </c>
      <c r="O25" s="19">
        <v>0.230373641220772</v>
      </c>
      <c r="P25" s="11">
        <v>49.56568936263437</v>
      </c>
      <c r="Q25" s="9" t="s">
        <v>57</v>
      </c>
    </row>
    <row r="26" spans="1:17" x14ac:dyDescent="0.25">
      <c r="A26" s="11">
        <v>22</v>
      </c>
      <c r="B26" s="9" t="s">
        <v>100</v>
      </c>
      <c r="C26" s="9" t="s">
        <v>101</v>
      </c>
      <c r="D26" s="9" t="s">
        <v>56</v>
      </c>
      <c r="E26" s="10">
        <v>87.26000213623047</v>
      </c>
      <c r="F26" s="17">
        <v>1.163551174438297</v>
      </c>
      <c r="G26" s="18">
        <v>0</v>
      </c>
      <c r="H26" s="18">
        <v>0</v>
      </c>
      <c r="I26" s="18">
        <v>0</v>
      </c>
      <c r="J26" s="18">
        <v>1.163551174438297</v>
      </c>
      <c r="K26" s="18">
        <v>0</v>
      </c>
      <c r="L26" s="18">
        <v>0</v>
      </c>
      <c r="M26" s="19">
        <v>0</v>
      </c>
      <c r="N26" s="19">
        <v>0</v>
      </c>
      <c r="O26" s="19">
        <v>1</v>
      </c>
      <c r="P26" s="11">
        <v>37.22597026274396</v>
      </c>
      <c r="Q26" s="9" t="s">
        <v>57</v>
      </c>
    </row>
    <row r="27" spans="1:17" x14ac:dyDescent="0.25">
      <c r="A27" s="11">
        <v>23</v>
      </c>
      <c r="B27" s="9" t="s">
        <v>102</v>
      </c>
      <c r="C27" s="9" t="s">
        <v>103</v>
      </c>
      <c r="D27" s="9" t="s">
        <v>56</v>
      </c>
      <c r="E27" s="10">
        <v>435.3800048828125</v>
      </c>
      <c r="F27" s="17">
        <v>1.151472477282855</v>
      </c>
      <c r="G27" s="18">
        <v>0</v>
      </c>
      <c r="H27" s="18">
        <v>0</v>
      </c>
      <c r="I27" s="18">
        <v>0</v>
      </c>
      <c r="J27" s="18">
        <v>1.151472477282855</v>
      </c>
      <c r="K27" s="18">
        <v>0</v>
      </c>
      <c r="L27" s="18">
        <v>0</v>
      </c>
      <c r="M27" s="19">
        <v>0</v>
      </c>
      <c r="N27" s="19">
        <v>0</v>
      </c>
      <c r="O27" s="19">
        <v>0.5537477457285238</v>
      </c>
      <c r="P27" s="11">
        <v>40.76303867334101</v>
      </c>
      <c r="Q27" s="9" t="s">
        <v>57</v>
      </c>
    </row>
    <row r="28" spans="1:17" x14ac:dyDescent="0.25">
      <c r="A28" s="11">
        <v>24</v>
      </c>
      <c r="B28" s="9" t="s">
        <v>104</v>
      </c>
      <c r="C28" s="9" t="s">
        <v>105</v>
      </c>
      <c r="D28" s="9" t="s">
        <v>106</v>
      </c>
      <c r="E28" s="10">
        <v>190.9199981689453</v>
      </c>
      <c r="F28" s="17">
        <v>1.134638967683542</v>
      </c>
      <c r="G28" s="18">
        <v>0</v>
      </c>
      <c r="H28" s="18">
        <v>0</v>
      </c>
      <c r="I28" s="18">
        <v>0</v>
      </c>
      <c r="J28" s="18">
        <v>1.134638967683542</v>
      </c>
      <c r="K28" s="18">
        <v>0</v>
      </c>
      <c r="L28" s="18">
        <v>0</v>
      </c>
      <c r="M28" s="19">
        <v>0</v>
      </c>
      <c r="N28" s="19">
        <v>0</v>
      </c>
      <c r="O28" s="19">
        <v>0.543612955996025</v>
      </c>
      <c r="P28" s="11">
        <v>59.32691505676462</v>
      </c>
      <c r="Q28" s="9" t="s">
        <v>57</v>
      </c>
    </row>
    <row r="29" spans="1:17" x14ac:dyDescent="0.25">
      <c r="A29" s="11">
        <v>25</v>
      </c>
      <c r="B29" s="9" t="s">
        <v>107</v>
      </c>
      <c r="C29" s="9" t="s">
        <v>108</v>
      </c>
      <c r="D29" s="9" t="s">
        <v>109</v>
      </c>
      <c r="E29" s="10">
        <v>339.125</v>
      </c>
      <c r="F29" s="17">
        <v>1.118028567070168</v>
      </c>
      <c r="G29" s="18">
        <v>0</v>
      </c>
      <c r="H29" s="18">
        <v>0</v>
      </c>
      <c r="I29" s="18">
        <v>0</v>
      </c>
      <c r="J29" s="18">
        <v>1.118028567070168</v>
      </c>
      <c r="K29" s="18">
        <v>0</v>
      </c>
      <c r="L29" s="18">
        <v>0</v>
      </c>
      <c r="M29" s="19">
        <v>0</v>
      </c>
      <c r="N29" s="19">
        <v>0</v>
      </c>
      <c r="O29" s="19">
        <v>0.8067067544728903</v>
      </c>
      <c r="P29" s="11">
        <v>69.20991473594977</v>
      </c>
      <c r="Q29" s="9" t="s">
        <v>57</v>
      </c>
    </row>
    <row r="30" spans="1:17" x14ac:dyDescent="0.25">
      <c r="A30" s="11">
        <v>26</v>
      </c>
      <c r="B30" s="9" t="s">
        <v>110</v>
      </c>
      <c r="C30" s="9" t="s">
        <v>111</v>
      </c>
      <c r="D30" s="9" t="s">
        <v>56</v>
      </c>
      <c r="E30" s="10">
        <v>364.8999938964844</v>
      </c>
      <c r="F30" s="17">
        <v>1.116983241369677</v>
      </c>
      <c r="G30" s="18">
        <v>0</v>
      </c>
      <c r="H30" s="18">
        <v>0</v>
      </c>
      <c r="I30" s="18">
        <v>0</v>
      </c>
      <c r="J30" s="18">
        <v>1.116983241369677</v>
      </c>
      <c r="K30" s="18">
        <v>0</v>
      </c>
      <c r="L30" s="18">
        <v>0</v>
      </c>
      <c r="M30" s="19">
        <v>0</v>
      </c>
      <c r="N30" s="19">
        <v>0</v>
      </c>
      <c r="O30" s="19">
        <v>0.146115547815765</v>
      </c>
      <c r="P30" s="11">
        <v>45.86882377045316</v>
      </c>
      <c r="Q30" s="9" t="s">
        <v>57</v>
      </c>
    </row>
    <row r="31" spans="1:17" x14ac:dyDescent="0.25">
      <c r="A31" s="11">
        <v>27</v>
      </c>
      <c r="B31" s="9" t="s">
        <v>112</v>
      </c>
      <c r="C31" s="9" t="s">
        <v>113</v>
      </c>
      <c r="D31" s="9" t="s">
        <v>109</v>
      </c>
      <c r="E31" s="10">
        <v>87.48000335693359</v>
      </c>
      <c r="F31" s="17">
        <v>1.089533725542335</v>
      </c>
      <c r="G31" s="18">
        <v>0</v>
      </c>
      <c r="H31" s="18">
        <v>0</v>
      </c>
      <c r="I31" s="18">
        <v>0</v>
      </c>
      <c r="J31" s="18">
        <v>1.089533725542335</v>
      </c>
      <c r="K31" s="18">
        <v>0</v>
      </c>
      <c r="L31" s="18">
        <v>0</v>
      </c>
      <c r="M31" s="19">
        <v>0</v>
      </c>
      <c r="N31" s="19">
        <v>0</v>
      </c>
      <c r="O31" s="19">
        <v>0.4350794988589382</v>
      </c>
      <c r="P31" s="11">
        <v>57.18028259137401</v>
      </c>
      <c r="Q31" s="9" t="s">
        <v>57</v>
      </c>
    </row>
    <row r="32" spans="1:17" x14ac:dyDescent="0.25">
      <c r="A32" s="11">
        <v>28</v>
      </c>
      <c r="B32" s="9" t="s">
        <v>114</v>
      </c>
      <c r="C32" s="9" t="s">
        <v>115</v>
      </c>
      <c r="D32" s="9" t="s">
        <v>83</v>
      </c>
      <c r="E32" s="10">
        <v>241.9600067138672</v>
      </c>
      <c r="F32" s="17">
        <v>1.065283081012613</v>
      </c>
      <c r="G32" s="18">
        <v>0</v>
      </c>
      <c r="H32" s="18">
        <v>0</v>
      </c>
      <c r="I32" s="18">
        <v>0</v>
      </c>
      <c r="J32" s="18">
        <v>1.065283081012613</v>
      </c>
      <c r="K32" s="18">
        <v>0</v>
      </c>
      <c r="L32" s="18">
        <v>0</v>
      </c>
      <c r="M32" s="19">
        <v>0</v>
      </c>
      <c r="N32" s="19">
        <v>0</v>
      </c>
      <c r="O32" s="19">
        <v>0.5822419332516657</v>
      </c>
      <c r="P32" s="11">
        <v>75.86365996659075</v>
      </c>
      <c r="Q32" s="9" t="s">
        <v>57</v>
      </c>
    </row>
    <row r="33" spans="1:17" x14ac:dyDescent="0.25">
      <c r="A33" s="11">
        <v>29</v>
      </c>
      <c r="B33" s="9" t="s">
        <v>116</v>
      </c>
      <c r="C33" s="9" t="s">
        <v>117</v>
      </c>
      <c r="D33" s="9" t="s">
        <v>56</v>
      </c>
      <c r="E33" s="10">
        <v>188.1499938964844</v>
      </c>
      <c r="F33" s="17">
        <v>1.059151742172855</v>
      </c>
      <c r="G33" s="18">
        <v>0</v>
      </c>
      <c r="H33" s="18">
        <v>0</v>
      </c>
      <c r="I33" s="18">
        <v>0</v>
      </c>
      <c r="J33" s="18">
        <v>1.059151742172855</v>
      </c>
      <c r="K33" s="18">
        <v>0</v>
      </c>
      <c r="L33" s="18">
        <v>0</v>
      </c>
      <c r="M33" s="19">
        <v>0</v>
      </c>
      <c r="N33" s="19">
        <v>0</v>
      </c>
      <c r="O33" s="19">
        <v>0.4764968488259695</v>
      </c>
      <c r="P33" s="11">
        <v>51.3815664185782</v>
      </c>
      <c r="Q33" s="9" t="s">
        <v>57</v>
      </c>
    </row>
    <row r="34" spans="1:17" x14ac:dyDescent="0.25">
      <c r="A34" s="11">
        <v>30</v>
      </c>
      <c r="B34" s="9" t="s">
        <v>118</v>
      </c>
      <c r="C34" s="9" t="s">
        <v>119</v>
      </c>
      <c r="D34" s="9" t="s">
        <v>56</v>
      </c>
      <c r="E34" s="10">
        <v>363.2999877929688</v>
      </c>
      <c r="F34" s="17">
        <v>1.043383515169131</v>
      </c>
      <c r="G34" s="18">
        <v>0</v>
      </c>
      <c r="H34" s="18">
        <v>0</v>
      </c>
      <c r="I34" s="18">
        <v>0</v>
      </c>
      <c r="J34" s="18">
        <v>1.043383515169131</v>
      </c>
      <c r="K34" s="18">
        <v>0</v>
      </c>
      <c r="L34" s="18">
        <v>0</v>
      </c>
      <c r="M34" s="19">
        <v>0</v>
      </c>
      <c r="N34" s="19">
        <v>0</v>
      </c>
      <c r="O34" s="19">
        <v>0.5705515143087754</v>
      </c>
      <c r="P34" s="11">
        <v>64.55257609146807</v>
      </c>
      <c r="Q34" s="9" t="s">
        <v>57</v>
      </c>
    </row>
    <row r="35" spans="1:17" x14ac:dyDescent="0.25">
      <c r="A35" s="11">
        <v>31</v>
      </c>
      <c r="B35" s="9" t="s">
        <v>120</v>
      </c>
      <c r="C35" s="9" t="s">
        <v>121</v>
      </c>
      <c r="D35" s="9" t="s">
        <v>56</v>
      </c>
      <c r="E35" s="10">
        <v>28.57999992370605</v>
      </c>
      <c r="F35" s="17">
        <v>0.9333851933765743</v>
      </c>
      <c r="G35" s="18">
        <v>0</v>
      </c>
      <c r="H35" s="18">
        <v>0</v>
      </c>
      <c r="I35" s="18">
        <v>0</v>
      </c>
      <c r="J35" s="18">
        <v>0.9333851933765743</v>
      </c>
      <c r="K35" s="18">
        <v>0</v>
      </c>
      <c r="L35" s="18">
        <v>0</v>
      </c>
      <c r="M35" s="19">
        <v>0</v>
      </c>
      <c r="N35" s="19">
        <v>0</v>
      </c>
      <c r="O35" s="19">
        <v>0.6020340195723306</v>
      </c>
      <c r="P35" s="11">
        <v>52.51493649488436</v>
      </c>
      <c r="Q35" s="9" t="s">
        <v>57</v>
      </c>
    </row>
    <row r="36" spans="1:17" x14ac:dyDescent="0.25">
      <c r="A36" s="11">
        <v>32</v>
      </c>
      <c r="B36" s="9" t="s">
        <v>122</v>
      </c>
      <c r="C36" s="9" t="s">
        <v>123</v>
      </c>
      <c r="D36" s="9" t="s">
        <v>124</v>
      </c>
      <c r="E36" s="10">
        <v>169.8899993896484</v>
      </c>
      <c r="F36" s="17">
        <v>0.8915177014178642</v>
      </c>
      <c r="G36" s="18">
        <v>0</v>
      </c>
      <c r="H36" s="18">
        <v>0</v>
      </c>
      <c r="I36" s="18">
        <v>0</v>
      </c>
      <c r="J36" s="18">
        <v>0.8915177014178642</v>
      </c>
      <c r="K36" s="18">
        <v>0</v>
      </c>
      <c r="L36" s="18">
        <v>0</v>
      </c>
      <c r="M36" s="19">
        <v>0</v>
      </c>
      <c r="N36" s="19">
        <v>0</v>
      </c>
      <c r="O36" s="19">
        <v>0.5247171790671665</v>
      </c>
      <c r="P36" s="11">
        <v>79.36512889929674</v>
      </c>
      <c r="Q36" s="9" t="s">
        <v>57</v>
      </c>
    </row>
    <row r="37" spans="1:17" x14ac:dyDescent="0.25">
      <c r="A37" s="11">
        <v>33</v>
      </c>
      <c r="B37" s="9" t="s">
        <v>125</v>
      </c>
      <c r="C37" s="9" t="s">
        <v>126</v>
      </c>
      <c r="D37" s="9" t="s">
        <v>127</v>
      </c>
      <c r="E37" s="10">
        <v>597.5900268554688</v>
      </c>
      <c r="F37" s="17">
        <v>0.8636944523279921</v>
      </c>
      <c r="G37" s="18">
        <v>0</v>
      </c>
      <c r="H37" s="18">
        <v>0</v>
      </c>
      <c r="I37" s="18">
        <v>0</v>
      </c>
      <c r="J37" s="18">
        <v>0.8636944523279922</v>
      </c>
      <c r="K37" s="18">
        <v>0</v>
      </c>
      <c r="L37" s="18">
        <v>0</v>
      </c>
      <c r="M37" s="19">
        <v>0</v>
      </c>
      <c r="N37" s="19">
        <v>0</v>
      </c>
      <c r="O37" s="19">
        <v>0.4112743798648562</v>
      </c>
      <c r="P37" s="11">
        <v>52.79087242304367</v>
      </c>
      <c r="Q37" s="9" t="s">
        <v>57</v>
      </c>
    </row>
    <row r="38" spans="1:17" x14ac:dyDescent="0.25">
      <c r="A38" s="11">
        <v>34</v>
      </c>
      <c r="B38" s="9" t="s">
        <v>128</v>
      </c>
      <c r="C38" s="9" t="s">
        <v>129</v>
      </c>
      <c r="D38" s="9" t="s">
        <v>106</v>
      </c>
      <c r="E38" s="10">
        <v>81.37999725341797</v>
      </c>
      <c r="F38" s="17">
        <v>0.859198572216901</v>
      </c>
      <c r="G38" s="18">
        <v>0</v>
      </c>
      <c r="H38" s="18">
        <v>0</v>
      </c>
      <c r="I38" s="18">
        <v>0</v>
      </c>
      <c r="J38" s="18">
        <v>0.859198572216901</v>
      </c>
      <c r="K38" s="18">
        <v>0</v>
      </c>
      <c r="L38" s="18">
        <v>0</v>
      </c>
      <c r="M38" s="19">
        <v>0</v>
      </c>
      <c r="N38" s="19">
        <v>0</v>
      </c>
      <c r="O38" s="19">
        <v>0.6035467439097137</v>
      </c>
      <c r="P38" s="11">
        <v>53.17081448589917</v>
      </c>
      <c r="Q38" s="9" t="s">
        <v>57</v>
      </c>
    </row>
    <row r="39" spans="1:17" x14ac:dyDescent="0.25">
      <c r="A39" s="11">
        <v>35</v>
      </c>
      <c r="B39" s="9" t="s">
        <v>130</v>
      </c>
      <c r="C39" s="9" t="s">
        <v>131</v>
      </c>
      <c r="D39" s="9" t="s">
        <v>74</v>
      </c>
      <c r="E39" s="10">
        <v>26.48999977111816</v>
      </c>
      <c r="F39" s="17">
        <v>0.8458227045310803</v>
      </c>
      <c r="G39" s="18">
        <v>0</v>
      </c>
      <c r="H39" s="18">
        <v>0</v>
      </c>
      <c r="I39" s="18">
        <v>0</v>
      </c>
      <c r="J39" s="18">
        <v>0.8458227045310803</v>
      </c>
      <c r="K39" s="18">
        <v>0</v>
      </c>
      <c r="L39" s="18">
        <v>0</v>
      </c>
      <c r="M39" s="19">
        <v>0</v>
      </c>
      <c r="N39" s="19">
        <v>0</v>
      </c>
      <c r="O39" s="19">
        <v>0.2472620589611176</v>
      </c>
      <c r="P39" s="11">
        <v>57.48551490986506</v>
      </c>
      <c r="Q39" s="9" t="s">
        <v>57</v>
      </c>
    </row>
    <row r="40" spans="1:17" x14ac:dyDescent="0.25">
      <c r="A40" s="11">
        <v>36</v>
      </c>
      <c r="B40" s="9" t="s">
        <v>132</v>
      </c>
      <c r="C40" s="9" t="s">
        <v>133</v>
      </c>
      <c r="D40" s="9" t="s">
        <v>127</v>
      </c>
      <c r="E40" s="10">
        <v>98.51000213623047</v>
      </c>
      <c r="F40" s="17">
        <v>0.8344397195398325</v>
      </c>
      <c r="G40" s="18">
        <v>0</v>
      </c>
      <c r="H40" s="18">
        <v>0</v>
      </c>
      <c r="I40" s="18">
        <v>0</v>
      </c>
      <c r="J40" s="18">
        <v>0.8344397195398325</v>
      </c>
      <c r="K40" s="18">
        <v>0</v>
      </c>
      <c r="L40" s="18">
        <v>0</v>
      </c>
      <c r="M40" s="19">
        <v>0</v>
      </c>
      <c r="N40" s="19">
        <v>0</v>
      </c>
      <c r="O40" s="19">
        <v>0.153258094705423</v>
      </c>
      <c r="P40" s="11">
        <v>52.83416844507703</v>
      </c>
      <c r="Q40" s="9" t="s">
        <v>57</v>
      </c>
    </row>
    <row r="41" spans="1:17" x14ac:dyDescent="0.25">
      <c r="A41" s="11">
        <v>37</v>
      </c>
      <c r="B41" s="9" t="s">
        <v>134</v>
      </c>
      <c r="C41" s="9" t="s">
        <v>135</v>
      </c>
      <c r="D41" s="9" t="s">
        <v>109</v>
      </c>
      <c r="E41" s="10">
        <v>190.2100067138672</v>
      </c>
      <c r="F41" s="17">
        <v>0.8135795256808406</v>
      </c>
      <c r="G41" s="18">
        <v>0</v>
      </c>
      <c r="H41" s="18">
        <v>0</v>
      </c>
      <c r="I41" s="18">
        <v>0</v>
      </c>
      <c r="J41" s="18">
        <v>0.8135795256808406</v>
      </c>
      <c r="K41" s="18">
        <v>0</v>
      </c>
      <c r="L41" s="18">
        <v>0</v>
      </c>
      <c r="M41" s="19">
        <v>0</v>
      </c>
      <c r="N41" s="19">
        <v>0</v>
      </c>
      <c r="O41" s="19">
        <v>0.5469258956581013</v>
      </c>
      <c r="P41" s="11">
        <v>73.45705869486477</v>
      </c>
      <c r="Q41" s="9" t="s">
        <v>57</v>
      </c>
    </row>
    <row r="42" spans="1:17" x14ac:dyDescent="0.25">
      <c r="A42" s="11">
        <v>38</v>
      </c>
      <c r="B42" s="9" t="s">
        <v>136</v>
      </c>
      <c r="C42" s="9" t="s">
        <v>137</v>
      </c>
      <c r="D42" s="9" t="s">
        <v>106</v>
      </c>
      <c r="E42" s="10">
        <v>162.1399993896484</v>
      </c>
      <c r="F42" s="17">
        <v>0.810185697057813</v>
      </c>
      <c r="G42" s="18">
        <v>0</v>
      </c>
      <c r="H42" s="18">
        <v>0</v>
      </c>
      <c r="I42" s="18">
        <v>0</v>
      </c>
      <c r="J42" s="18">
        <v>0.810185697057813</v>
      </c>
      <c r="K42" s="18">
        <v>0</v>
      </c>
      <c r="L42" s="18">
        <v>0</v>
      </c>
      <c r="M42" s="19">
        <v>0</v>
      </c>
      <c r="N42" s="19">
        <v>0</v>
      </c>
      <c r="O42" s="19">
        <v>0.4145017079571061</v>
      </c>
      <c r="P42" s="11">
        <v>58.63147031095819</v>
      </c>
      <c r="Q42" s="9" t="s">
        <v>57</v>
      </c>
    </row>
    <row r="43" spans="1:17" x14ac:dyDescent="0.25">
      <c r="A43" s="11">
        <v>39</v>
      </c>
      <c r="B43" s="9" t="s">
        <v>138</v>
      </c>
      <c r="C43" s="9" t="s">
        <v>139</v>
      </c>
      <c r="D43" s="9" t="s">
        <v>83</v>
      </c>
      <c r="E43" s="10">
        <v>42.95999908447266</v>
      </c>
      <c r="F43" s="17">
        <v>0.7734985035655443</v>
      </c>
      <c r="G43" s="18">
        <v>0</v>
      </c>
      <c r="H43" s="18">
        <v>0</v>
      </c>
      <c r="I43" s="18">
        <v>0</v>
      </c>
      <c r="J43" s="18">
        <v>0.7734985035655443</v>
      </c>
      <c r="K43" s="18">
        <v>0</v>
      </c>
      <c r="L43" s="18">
        <v>0</v>
      </c>
      <c r="M43" s="19">
        <v>0</v>
      </c>
      <c r="N43" s="19">
        <v>0</v>
      </c>
      <c r="O43" s="19">
        <v>0.5164324530672304</v>
      </c>
      <c r="P43" s="11">
        <v>66.58373799904871</v>
      </c>
      <c r="Q43" s="9" t="s">
        <v>57</v>
      </c>
    </row>
    <row r="44" spans="1:17" x14ac:dyDescent="0.25">
      <c r="A44" s="11">
        <v>40</v>
      </c>
      <c r="B44" s="9" t="s">
        <v>140</v>
      </c>
      <c r="C44" s="9" t="s">
        <v>141</v>
      </c>
      <c r="D44" s="9" t="s">
        <v>74</v>
      </c>
      <c r="E44" s="10">
        <v>260.239990234375</v>
      </c>
      <c r="F44" s="17">
        <v>0.7492101444876392</v>
      </c>
      <c r="G44" s="18">
        <v>0</v>
      </c>
      <c r="H44" s="18">
        <v>0</v>
      </c>
      <c r="I44" s="18">
        <v>0</v>
      </c>
      <c r="J44" s="18">
        <v>0.7492101444876392</v>
      </c>
      <c r="K44" s="18">
        <v>0</v>
      </c>
      <c r="L44" s="18">
        <v>0</v>
      </c>
      <c r="M44" s="19">
        <v>0</v>
      </c>
      <c r="N44" s="19">
        <v>0</v>
      </c>
      <c r="O44" s="19">
        <v>0.6033515750650456</v>
      </c>
      <c r="P44" s="11">
        <v>72.82661914800588</v>
      </c>
      <c r="Q44" s="9" t="s">
        <v>57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142</v>
      </c>
    </row>
    <row r="2" spans="1:7" x14ac:dyDescent="0.25">
      <c r="A2" s="2" t="s">
        <v>143</v>
      </c>
    </row>
    <row r="4" spans="1:7" x14ac:dyDescent="0.25">
      <c r="A4" s="8" t="s">
        <v>144</v>
      </c>
    </row>
    <row r="5" spans="1:7" ht="30" customHeight="1" x14ac:dyDescent="0.25">
      <c r="A5" s="14" t="s">
        <v>145</v>
      </c>
      <c r="B5" s="14" t="s">
        <v>146</v>
      </c>
      <c r="C5" s="14" t="s">
        <v>147</v>
      </c>
    </row>
    <row r="6" spans="1:7" x14ac:dyDescent="0.25">
      <c r="A6" s="9" t="s">
        <v>148</v>
      </c>
      <c r="B6" s="19">
        <v>0.3</v>
      </c>
      <c r="C6" s="9" t="s">
        <v>149</v>
      </c>
    </row>
    <row r="7" spans="1:7" x14ac:dyDescent="0.25">
      <c r="A7" s="9" t="s">
        <v>150</v>
      </c>
      <c r="B7" s="19">
        <v>0.25</v>
      </c>
      <c r="C7" s="9" t="s">
        <v>151</v>
      </c>
    </row>
    <row r="8" spans="1:7" x14ac:dyDescent="0.25">
      <c r="A8" s="9" t="s">
        <v>152</v>
      </c>
      <c r="B8" s="19">
        <v>0.15</v>
      </c>
      <c r="C8" s="9" t="s">
        <v>153</v>
      </c>
    </row>
    <row r="9" spans="1:7" x14ac:dyDescent="0.25">
      <c r="A9" s="9" t="s">
        <v>154</v>
      </c>
      <c r="B9" s="19">
        <v>0.3</v>
      </c>
      <c r="C9" s="9" t="s">
        <v>155</v>
      </c>
    </row>
    <row r="10" spans="1:7" x14ac:dyDescent="0.25">
      <c r="A10" s="12" t="s">
        <v>156</v>
      </c>
      <c r="B10" s="19">
        <f>SUM(B6:B9)</f>
        <v>1.0</v>
      </c>
    </row>
    <row r="12" spans="1:7" x14ac:dyDescent="0.25">
      <c r="A12" s="8" t="s">
        <v>157</v>
      </c>
    </row>
    <row r="13" spans="1:7" x14ac:dyDescent="0.25">
      <c r="A13" s="13" t="s">
        <v>158</v>
      </c>
    </row>
    <row r="15" spans="1:7" x14ac:dyDescent="0.25">
      <c r="A15" s="8" t="s">
        <v>159</v>
      </c>
    </row>
    <row r="16" spans="1:7" x14ac:dyDescent="0.25">
      <c r="A16" s="13" t="s">
        <v>160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185</v>
      </c>
    </row>
    <row r="3" spans="1:2">
      <c r="A3" s="8" t="s">
        <v>186</v>
      </c>
    </row>
    <row r="4" spans="1:2">
      <c r="A4" s="9" t="s">
        <v>187</v>
      </c>
      <c r="B4" s="9" t="s">
        <v>188</v>
      </c>
    </row>
    <row r="5" spans="1:2">
      <c r="A5" s="9" t="s">
        <v>189</v>
      </c>
      <c r="B5" s="9" t="s">
        <v>38</v>
      </c>
    </row>
    <row r="6" spans="1:2">
      <c r="A6" s="9" t="s">
        <v>190</v>
      </c>
      <c r="B6" s="9" t="s">
        <v>191</v>
      </c>
    </row>
    <row r="7" spans="1:2">
      <c r="A7" s="9" t="s">
        <v>192</v>
      </c>
      <c r="B7" s="9" t="s">
        <v>193</v>
      </c>
    </row>
    <row r="8" spans="1:2">
      <c r="A8" s="9" t="s">
        <v>194</v>
      </c>
      <c r="B8" s="9" t="s">
        <v>54</v>
      </c>
    </row>
    <row r="9" spans="1:2">
      <c r="A9" s="9" t="s">
        <v>195</v>
      </c>
      <c r="B9" s="9" t="s">
        <v>196</v>
      </c>
    </row>
    <row r="10" spans="1:2">
      <c r="A10" s="9" t="s">
        <v>197</v>
      </c>
      <c r="B10" s="9" t="s">
        <v>198</v>
      </c>
    </row>
    <row r="11" spans="1:2">
      <c r="A11" s="9" t="s">
        <v>199</v>
      </c>
      <c r="B11" s="9" t="s">
        <v>200</v>
      </c>
    </row>
    <row r="12" spans="1:2">
      <c r="A12" s="9" t="s">
        <v>201</v>
      </c>
      <c r="B12" s="9" t="s">
        <v>202</v>
      </c>
    </row>
    <row r="13" spans="1:2">
      <c r="A13" s="9" t="s">
        <v>203</v>
      </c>
      <c r="B13" s="9" t="s">
        <v>165</v>
      </c>
    </row>
    <row r="14" spans="1:2">
      <c r="A14" s="9" t="s">
        <v>204</v>
      </c>
      <c r="B14" s="9" t="s">
        <v>200</v>
      </c>
    </row>
    <row r="16" spans="1:2">
      <c r="A16" s="8" t="s">
        <v>205</v>
      </c>
    </row>
    <row r="17" spans="1:2" ht="30" customHeight="1">
      <c r="A17" s="12" t="s">
        <v>206</v>
      </c>
      <c r="B17" s="13" t="s">
        <v>207</v>
      </c>
    </row>
    <row r="18" spans="1:2" ht="30" customHeight="1">
      <c r="A18" s="12" t="s">
        <v>208</v>
      </c>
      <c r="B18" s="13" t="s">
        <v>209</v>
      </c>
    </row>
    <row r="19" spans="1:2" ht="30" customHeight="1">
      <c r="A19" s="12" t="s">
        <v>210</v>
      </c>
      <c r="B19" s="13" t="s">
        <v>211</v>
      </c>
    </row>
    <row r="20" spans="1:2" ht="30" customHeight="1">
      <c r="A20" s="12" t="s">
        <v>212</v>
      </c>
      <c r="B20" s="13" t="s">
        <v>213</v>
      </c>
    </row>
    <row r="22" spans="1:2">
      <c r="A22" s="8" t="s">
        <v>214</v>
      </c>
    </row>
    <row r="23" spans="1:2" ht="32" customHeight="1">
      <c r="A23" s="20" t="s">
        <v>215</v>
      </c>
      <c r="B23" s="20"/>
    </row>
    <row r="24" spans="1:2" ht="32" customHeight="1">
      <c r="A24" s="20" t="s">
        <v>216</v>
      </c>
      <c r="B24" s="20"/>
    </row>
    <row r="25" spans="1:2" ht="32" customHeight="1">
      <c r="A25" s="20" t="s">
        <v>217</v>
      </c>
      <c r="B25" s="20"/>
    </row>
    <row r="26" spans="1:2" ht="32" customHeight="1">
      <c r="A26" s="20" t="s">
        <v>218</v>
      </c>
      <c r="B26" s="20"/>
    </row>
    <row r="27" spans="1:2" ht="32" customHeight="1">
      <c r="A27" s="20" t="s">
        <v>219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2026-08-25T01:45:20Z</dcterms:created>
  <dcterms:modified xsi:type="dcterms:W3CDTF">2026-08-25T01:45:20Z</dcterms:modified>
</cp:coreProperties>
</file>