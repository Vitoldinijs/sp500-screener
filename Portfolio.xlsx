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Позиции!$A$4:$P$24</definedName>
    <definedName name="_xlnm._FilterDatabase" localSheetId="2" hidden="1">Сделки!$A$4:$O$5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<sst xmlns="http://schemas.openxmlformats.org/spreadsheetml/2006/main" count="477" uniqueCount="259">
  <si>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</si>
  <si>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</si>
  <si>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</si>
  <si>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</si>
  <si>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</si>
  <si>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</si>
  <si>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</si>
  <si>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</si>
  <si>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</si>
  <si>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</si>
  <si>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</si>
  <si>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</si>
  <si>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</si>
  <si>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</si>
  <si>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</si>
  <si>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</si>
  <si>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</si>
  <si>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</si>
  <si>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</si>
  <si>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</si>
  <si>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</si>
  <si>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</si>
  <si>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</si>
  <si>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</si>
  <si>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</si>
  <si>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</si>
  <si>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</si>
  <si>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</si>
  <si>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</si>
  <si>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</si>
  <si>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</si>
  <si>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</si>
  <si>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</si>
  <si>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</si>
  <si>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</si>
  <si>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</si>
  <si>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</si>
  <si>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</si>
  <si>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Micron Technology</t>
  </si>
  <si>
    <t>Information Technology</t>
  </si>
  <si>
    <t>2026-08-26</t>
  </si>
  <si>
    <t>confirmed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</si>
  <si>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</si>
  <si>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</si>
  <si>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</si>
  <si>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</si>
  <si>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</si>
  <si>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</si>
  <si>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</si>
  <si>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</si>
  <si>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</si>
  <si>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</si>
  <si>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</si>
  <si>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</si>
  <si>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</si>
  <si>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</si>
  <si>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</si>
  <si>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</si>
  <si>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</si>
  <si>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</si>
  <si>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</si>
  <si>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</si>
  <si>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</si>
  <si>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</si>
  <si>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</si>
  <si>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</si>
  <si>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</si>
  <si>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</si>
  <si>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</si>
  <si>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</si>
  <si>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</si>
  <si>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</si>
  <si>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</si>
  <si>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</si>
  <si>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</si>
  <si>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</si>
  <si>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</si>
  <si>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</si>
  <si>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</si>
  <si>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</si>
  <si>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</si>
  <si>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</si>
  <si>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</si>
  <si>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</si>
  <si>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</si>
  <si>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</si>
  <si>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</si>
  <si>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DELL</t>
  </si>
  <si>
    <t>2026-08-25</t>
  </si>
  <si>
    <t>2026-10-08</t>
  </si>
  <si>
    <t>hold period elapsed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</si>
  <si>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</si>
  <si>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</si>
  <si>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</si>
  <si>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</si>
  <si>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</si>
  <si>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</si>
  <si>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</si>
  <si>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</si>
  <si>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</si>
  <si>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</si>
  <si>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</si>
  <si>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</si>
  <si>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</si>
  <si>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</si>
  <si>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</si>
  <si>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</si>
  <si>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</si>
  <si>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</si>
  <si>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</si>
  <si>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</si>
  <si>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</si>
  <si>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</si>
  <si>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</si>
  <si>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</si>
  <si>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</si>
  <si>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</si>
  <si>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</si>
  <si>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</si>
  <si>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</si>
  <si>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</si>
  <si>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</si>
  <si>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</si>
  <si>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</si>
  <si>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</si>
  <si>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</si>
  <si>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</si>
  <si>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</si>
  <si>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</si>
  <si>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</si>
  <si>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</si>
  <si>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NTAP</t>
  </si>
  <si>
    <t>NetApp</t>
  </si>
  <si>
    <t>Dell Technologies</t>
  </si>
  <si>
    <t>SMCI</t>
  </si>
  <si>
    <t>Supermicro</t>
  </si>
  <si>
    <t>CRM</t>
  </si>
  <si>
    <t>Salesforce</t>
  </si>
  <si>
    <t>FTNT</t>
  </si>
  <si>
    <t>Fortinet</t>
  </si>
  <si>
    <t>ZBRA</t>
  </si>
  <si>
    <t>Zebra Technologies</t>
  </si>
  <si>
    <t>CVX</t>
  </si>
  <si>
    <t>Chevron Corporation</t>
  </si>
  <si>
    <t>COF</t>
  </si>
  <si>
    <t>Capital One</t>
  </si>
  <si>
    <t>EOG</t>
  </si>
  <si>
    <t>EOG Resources</t>
  </si>
  <si>
    <t>WBD</t>
  </si>
  <si>
    <t>nan</t>
  </si>
  <si>
    <t>Unknown</t>
  </si>
  <si>
    <t>KEYS</t>
  </si>
  <si>
    <t>Keysight Technologies</t>
  </si>
  <si>
    <t>HAS</t>
  </si>
  <si>
    <t>Hasbro</t>
  </si>
  <si>
    <t>GS</t>
  </si>
  <si>
    <t>Goldman Sachs</t>
  </si>
  <si>
    <t>TER</t>
  </si>
  <si>
    <t>Teradyne</t>
  </si>
  <si>
    <t>BMY</t>
  </si>
  <si>
    <t>Bristol Myers Squibb</t>
  </si>
  <si>
    <t>WSM</t>
  </si>
  <si>
    <t>Williams-Sonoma, Inc.</t>
  </si>
  <si>
    <t>PTC</t>
  </si>
  <si>
    <t>PTC Inc.</t>
  </si>
  <si>
    <t>LLY</t>
  </si>
  <si>
    <t>Lilly (Eli)</t>
  </si>
  <si>
    <t>COP</t>
  </si>
  <si>
    <t>ConocoPhillips</t>
  </si>
  <si>
    <t>FFIV</t>
  </si>
  <si>
    <t>F5, Inc.</t>
  </si>
  <si>
    <t>CPAY</t>
  </si>
  <si>
    <t>Corpay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</si>
  <si>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</si>
  <si>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</si>
  <si>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</si>
  <si>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</si>
  <si>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</si>
  <si>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</si>
  <si>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</si>
  <si>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</si>
  <si>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</si>
  <si>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</si>
  <si>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</si>
  <si>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</si>
  <si>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</si>
  <si>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</si>
  <si>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</si>
  <si>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</si>
  <si>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</si>
  <si>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</si>
  <si>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</si>
  <si>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</si>
  <si>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</si>
  <si>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</si>
  <si>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</si>
  <si>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</si>
  <si>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</si>
  <si>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</si>
  <si>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2026-10-08 18:06 UTC · данные на 2026-10-08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</si>
  <si>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</si>
  <si>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</si>
  <si>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</si>
  <si>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</si>
  <si>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</si>
  <si>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</si>
  <si>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</si>
  <si>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</si>
  <si>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</si>
  <si>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</si>
  <si>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</si>
  <si>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</si>
  <si>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</si>
  <si>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</si>
  <si>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</si>
  <si>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</si>
  <si>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</si>
  <si>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</si>
  <si>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</si>
  <si>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</si>
  <si>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</si>
  <si>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</si>
  <si>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</si>
  <si>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</si>
  <si>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</si>
  <si>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</si>
  <si>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2026-10-08 18:06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</si>
  <si>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</si>
  <si>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</si>
  <si>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</si>
  <si>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</si>
  <si>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</si>
  <si>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</si>
  <si>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</si>
  <si>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</si>
  <si>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</si>
  <si>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</si>
  <si>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4</t>
  </si>
  <si>
    <t>Источник цен</t>
  </si>
  <si>
    <t>yfinance</t>
  </si>
  <si>
    <t>Фундаментал на дату</t>
  </si>
  <si>
    <t>2026-10-04</t>
  </si>
  <si>
    <t>Версия состояния</t>
  </si>
  <si>
    <t>2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</si>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</sst>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13" fillId="5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Information Technology</c:v>
                </c:pt>
                <c:pt idx="2">
                  <c:v>Health Care</c:v>
                </c:pt>
                <c:pt idx="3">
                  <c:v>Consumer Staples</c:v>
                </c:pt>
                <c:pt idx="4">
                  <c:v>Communication Services</c:v>
                </c:pt>
                <c:pt idx="5">
                  <c:v>Financials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2663.44</c:v>
                </c:pt>
                <c:pt idx="1">
                  <c:v>1965.02</c:v>
                </c:pt>
                <c:pt idx="2">
                  <c:v>1739.24</c:v>
                </c:pt>
                <c:pt idx="3">
                  <c:v>996.0500000000001</c:v>
                </c:pt>
                <c:pt idx="4">
                  <c:v>984.88</c:v>
                </c:pt>
                <c:pt idx="5">
                  <c:v>959.74</c:v>
                </c:pt>
                <c:pt idx="6">
                  <c:v>491.1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Капитал!$A$5:$A$28</c:f>
              <c:strCache>
                <c:ptCount val="2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</c:strCache>
            </c:strRef>
          </c:cat>
          <c:val>
            <c:numRef>
              <c:f>Капитал!$D$5:$D$28</c:f>
              <c:numCache>
                <c:formatCode>General</c:formatCode>
                <c:ptCount val="24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Капитал!$A$5:$A$28</c:f>
              <c:strCache>
                <c:ptCount val="2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</c:strCache>
            </c:strRef>
          </c:cat>
          <c:val>
            <c:numRef>
              <c:f>Капитал!$F$5:$F$28</c:f>
              <c:numCache>
                <c:formatCode>General</c:formatCode>
                <c:ptCount val="24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Капитал!$A$5:$A$28</c:f>
              <c:strCache>
                <c:ptCount val="2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</c:strCache>
            </c:strRef>
          </c:cat>
          <c:val>
            <c:numRef>
              <c:f>Капитал!$D$5:$D$28</c:f>
              <c:numCache>
                <c:formatCode>General</c:formatCode>
                <c:ptCount val="24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Капитал!$A$5:$A$28</c:f>
              <c:strCache>
                <c:ptCount val="2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</c:strCache>
            </c:strRef>
          </c:cat>
          <c:val>
            <c:numRef>
              <c:f>Капитал!$F$5:$F$28</c:f>
              <c:numCache>
                <c:formatCode>General</c:formatCode>
                <c:ptCount val="24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198</v>
      </c>
    </row>
    <row r="3" spans="2:8">
      <c r="B3" s="2" t="s">
        <v>199</v>
      </c>
    </row>
    <row r="5" spans="2:8">
      <c r="B5" s="3" t="s">
        <v>96</v>
      </c>
      <c r="D5" s="3" t="s">
        <v>200</v>
      </c>
      <c r="F5" s="3" t="s">
        <v>201</v>
      </c>
      <c r="H5" s="3" t="s">
        <v>202</v>
      </c>
    </row>
    <row r="6" spans="2:8">
      <c r="B6" s="4">
        <v>10410.42584494386</v>
      </c>
      <c r="D6" s="5">
        <v>0.04104258449438603</v>
      </c>
      <c r="F6" s="5">
        <v>0.01360499999999987</v>
      </c>
      <c r="H6" s="6">
        <v>-0.005570108480505209</v>
      </c>
    </row>
    <row r="8" spans="2:8">
      <c r="B8" s="3" t="s">
        <v>203</v>
      </c>
      <c r="D8" s="3" t="s">
        <v>204</v>
      </c>
      <c r="F8" s="3" t="s">
        <v>205</v>
      </c>
      <c r="H8" s="3" t="s">
        <v>206</v>
      </c>
    </row>
    <row r="9" spans="2:8">
      <c r="B9" s="7">
        <v>4.770029555837864</v>
      </c>
      <c r="D9" s="7">
        <v>1</v>
      </c>
      <c r="F9" s="8">
        <v>1</v>
      </c>
      <c r="H9" s="7">
        <v>20</v>
      </c>
    </row>
    <row r="12" spans="2:8">
      <c r="B12" s="9" t="s">
        <v>207</v>
      </c>
    </row>
    <row r="13" spans="2:8">
      <c r="B13" s="10" t="s">
        <v>94</v>
      </c>
      <c r="C13" s="11">
        <v>610.9558449438608</v>
      </c>
    </row>
    <row r="14" spans="2:8">
      <c r="B14" s="10" t="s">
        <v>95</v>
      </c>
      <c r="C14" s="11">
        <v>9799.469999999999</v>
      </c>
    </row>
    <row r="15" spans="2:8">
      <c r="B15" s="10" t="s">
        <v>96</v>
      </c>
      <c r="C15" s="11">
        <v>10410.42584494386</v>
      </c>
    </row>
    <row r="16" spans="2:8">
      <c r="B16" s="10" t="s">
        <v>208</v>
      </c>
      <c r="C16" s="11">
        <v>10000</v>
      </c>
    </row>
    <row r="17" spans="1:3">
      <c r="B17" s="10" t="s">
        <v>209</v>
      </c>
      <c r="C17" s="12">
        <v>21</v>
      </c>
    </row>
    <row r="18" spans="1:3">
      <c r="B18" s="10" t="s">
        <v>210</v>
      </c>
      <c r="C18" s="12">
        <v>0</v>
      </c>
    </row>
    <row r="19" spans="1:3">
      <c r="B19" s="10" t="s">
        <v>211</v>
      </c>
      <c r="C19" s="12">
        <v>2</v>
      </c>
    </row>
    <row r="20" spans="1:3">
      <c r="B20" s="10" t="s">
        <v>212</v>
      </c>
      <c r="C20" s="12">
        <v>21</v>
      </c>
    </row>
    <row r="21" spans="1:3">
      <c r="B21" s="10" t="s">
        <v>213</v>
      </c>
      <c r="C21" s="13">
        <v>22</v>
      </c>
    </row>
    <row r="22" spans="1:3">
      <c r="B22" s="10" t="s">
        <v>214</v>
      </c>
      <c r="C22" s="14">
        <v>0.283009</v>
      </c>
    </row>
    <row r="23" spans="1:3">
      <c r="B23" s="10" t="s">
        <v>215</v>
      </c>
      <c r="C23" s="14">
        <v>0</v>
      </c>
    </row>
    <row r="24" spans="1:3">
      <c r="B24" s="10" t="s">
        <v>216</v>
      </c>
      <c r="C24" s="10" t="s">
        <v>217</v>
      </c>
    </row>
    <row r="25" spans="1:3">
      <c r="B25" s="10" t="s">
        <v>218</v>
      </c>
      <c r="C25" s="15">
        <v>0.0933751524086011</v>
      </c>
    </row>
    <row r="26" spans="1:3">
      <c r="B26" s="10" t="s">
        <v>219</v>
      </c>
      <c r="C26" s="12">
        <v>24</v>
      </c>
    </row>
    <row r="28" spans="1:3">
      <c r="B28" s="16" t="s">
        <v>220</v>
      </c>
      <c r="C28" s="11">
        <f>C13+IFERROR(SUM('Позиции'!I5:I200),0)</f>
        <v>10410.42584494386</v>
      </c>
    </row>
    <row r="29" spans="1:3">
      <c r="B29" s="17" t="s">
        <v>221</v>
      </c>
    </row>
    <row r="31" spans="1:3">
      <c r="B31" s="9" t="s">
        <v>222</v>
      </c>
    </row>
    <row r="32" spans="1:3" ht="30" customHeight="1">
      <c r="A32" s="18" t="s">
        <v>24</v>
      </c>
      <c r="B32" s="18" t="s">
        <v>30</v>
      </c>
    </row>
    <row r="33" spans="2:3">
      <c r="B33" s="10" t="s">
        <v>47</v>
      </c>
      <c r="C33" s="11">
        <v>2663.44</v>
      </c>
    </row>
    <row r="34" spans="2:3">
      <c r="B34" s="10" t="s">
        <v>39</v>
      </c>
      <c r="C34" s="11">
        <v>1965.02</v>
      </c>
    </row>
    <row r="35" spans="2:3">
      <c r="B35" s="10" t="s">
        <v>62</v>
      </c>
      <c r="C35" s="11">
        <v>1739.24</v>
      </c>
    </row>
    <row r="36" spans="2:3">
      <c r="B36" s="10" t="s">
        <v>67</v>
      </c>
      <c r="C36" s="11">
        <v>996.0500000000001</v>
      </c>
    </row>
    <row r="37" spans="2:3">
      <c r="B37" s="10" t="s">
        <v>60</v>
      </c>
      <c r="C37" s="11">
        <v>984.88</v>
      </c>
    </row>
    <row r="38" spans="2:3">
      <c r="B38" s="10" t="s">
        <v>58</v>
      </c>
      <c r="C38" s="11">
        <v>959.74</v>
      </c>
    </row>
    <row r="39" spans="2:3">
      <c r="B39" s="10" t="s">
        <v>70</v>
      </c>
      <c r="C39" s="11">
        <v>491.1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20</v>
      </c>
    </row>
    <row r="2" spans="1:16" x14ac:dyDescent="0.25">
      <c r="A2" s="2" t="s">
        <v>21</v>
      </c>
    </row>
    <row r="4" spans="1:16" ht="30" customHeight="1" x14ac:dyDescent="0.25">
      <c r="A4" s="18" t="s">
        <v>22</v>
      </c>
      <c r="B4" s="18" t="s">
        <v>23</v>
      </c>
      <c r="C4" s="18" t="s">
        <v>24</v>
      </c>
      <c r="D4" s="18" t="s">
        <v>25</v>
      </c>
      <c r="E4" s="18" t="s">
        <v>26</v>
      </c>
      <c r="F4" s="18" t="s">
        <v>27</v>
      </c>
      <c r="G4" s="18" t="s">
        <v>28</v>
      </c>
      <c r="H4" s="18" t="s">
        <v>29</v>
      </c>
      <c r="I4" s="18" t="s">
        <v>30</v>
      </c>
      <c r="J4" s="18" t="s">
        <v>31</v>
      </c>
      <c r="K4" s="18" t="s">
        <v>32</v>
      </c>
      <c r="L4" s="18" t="s">
        <v>33</v>
      </c>
      <c r="M4" s="18" t="s">
        <v>34</v>
      </c>
      <c r="N4" s="18" t="s">
        <v>35</v>
      </c>
      <c r="O4" s="18" t="s">
        <v>36</v>
      </c>
      <c r="P4" s="18" t="s">
        <v>37</v>
      </c>
    </row>
    <row r="5" spans="1:16" x14ac:dyDescent="0.25">
      <c r="A5" s="10" t="s">
        <v>0</v>
      </c>
      <c r="B5" s="10" t="s">
        <v>38</v>
      </c>
      <c r="C5" s="10" t="s">
        <v>39</v>
      </c>
      <c r="D5" s="19" t="s">
        <v>40</v>
      </c>
      <c r="E5" s="11">
        <v>926.2029</v>
      </c>
      <c r="F5" s="20">
        <v>0.5145960000000001</v>
      </c>
      <c r="G5" s="11">
        <v>476.62</v>
      </c>
      <c r="H5" s="21">
        <v>1037.9301</v>
      </c>
      <c r="I5" s="11">
        <f>F5*H5</f>
        <v>534.1146777396001</v>
      </c>
      <c r="J5" s="11">
        <f>I5-G5</f>
        <v>57.49467773960009</v>
      </c>
      <c r="K5" s="14">
        <f>IFERROR(J5/G5,0)</f>
        <v>0.12063001497964855</v>
      </c>
      <c r="L5" s="12">
        <v>21</v>
      </c>
      <c r="M5" s="12">
        <f>MAX(0,21-L5)</f>
        <v>0</v>
      </c>
      <c r="N5" s="13">
        <v>1.809956883354321</v>
      </c>
      <c r="O5" s="10" t="s">
        <v>41</v>
      </c>
    </row>
    <row r="6" spans="1:16" x14ac:dyDescent="0.25">
      <c r="A6" s="10" t="s">
        <v>1</v>
      </c>
      <c r="B6" s="10" t="s">
        <v>42</v>
      </c>
      <c r="C6" s="10" t="s">
        <v>39</v>
      </c>
      <c r="D6" s="19" t="s">
        <v>43</v>
      </c>
      <c r="E6" s="11">
        <v>1550.1948</v>
      </c>
      <c r="F6" s="20">
        <v>0.308058</v>
      </c>
      <c r="G6" s="11">
        <v>477.55</v>
      </c>
      <c r="H6" s="21">
        <v>1605.8</v>
      </c>
      <c r="I6" s="11">
        <f>F6*H6</f>
        <v>494.67953639999996</v>
      </c>
      <c r="J6" s="11">
        <f>I6-G6</f>
        <v>17.12953639999995</v>
      </c>
      <c r="K6" s="14">
        <f>IFERROR(J6/G6,0)</f>
        <v>0.035869618678672284</v>
      </c>
      <c r="L6" s="12">
        <v>20</v>
      </c>
      <c r="M6" s="12">
        <f>MAX(0,21-L6)</f>
        <v>1</v>
      </c>
      <c r="N6" s="13">
        <v>1.655247920227722</v>
      </c>
      <c r="O6" s="10" t="s">
        <v>41</v>
      </c>
    </row>
    <row r="7" spans="1:16" x14ac:dyDescent="0.25">
      <c r="A7" s="10" t="s">
        <v>2</v>
      </c>
      <c r="B7" s="10" t="s">
        <v>44</v>
      </c>
      <c r="C7" s="10" t="s">
        <v>39</v>
      </c>
      <c r="D7" s="19" t="s">
        <v>45</v>
      </c>
      <c r="E7" s="11">
        <v>462.5311</v>
      </c>
      <c r="F7" s="20">
        <v>1.031174</v>
      </c>
      <c r="G7" s="11">
        <v>476.95</v>
      </c>
      <c r="H7" s="21">
        <v>393.4</v>
      </c>
      <c r="I7" s="11">
        <f>F7*H7</f>
        <v>405.6638516</v>
      </c>
      <c r="J7" s="11">
        <f>I7-G7</f>
        <v>-71.2861484</v>
      </c>
      <c r="K7" s="14">
        <f>IFERROR(J7/G7,0)</f>
        <v>-0.1494625189223189</v>
      </c>
      <c r="L7" s="12">
        <v>19</v>
      </c>
      <c r="M7" s="12">
        <f>MAX(0,21-L7)</f>
        <v>2</v>
      </c>
      <c r="N7" s="13">
        <v>1.135451734784544</v>
      </c>
      <c r="O7" s="10" t="s">
        <v>41</v>
      </c>
    </row>
    <row r="8" spans="1:16" x14ac:dyDescent="0.25">
      <c r="A8" s="10" t="s">
        <v>3</v>
      </c>
      <c r="B8" s="10" t="s">
        <v>46</v>
      </c>
      <c r="C8" s="10" t="s">
        <v>47</v>
      </c>
      <c r="D8" s="19" t="s">
        <v>48</v>
      </c>
      <c r="E8" s="11">
        <v>360.14</v>
      </c>
      <c r="F8" s="20">
        <v>1.321486</v>
      </c>
      <c r="G8" s="11">
        <v>475.92</v>
      </c>
      <c r="H8" s="21">
        <v>443.205</v>
      </c>
      <c r="I8" s="11">
        <f>F8*H8</f>
        <v>585.68920263</v>
      </c>
      <c r="J8" s="11">
        <f>I8-G8</f>
        <v>109.76920262999994</v>
      </c>
      <c r="K8" s="14">
        <f>IFERROR(J8/G8,0)</f>
        <v>0.23064633263993936</v>
      </c>
      <c r="L8" s="12">
        <v>18</v>
      </c>
      <c r="M8" s="12">
        <f>MAX(0,21-L8)</f>
        <v>3</v>
      </c>
      <c r="N8" s="13">
        <v>1.098454348098604</v>
      </c>
      <c r="O8" s="10" t="s">
        <v>41</v>
      </c>
    </row>
    <row r="9" spans="1:16" x14ac:dyDescent="0.25">
      <c r="A9" s="10" t="s">
        <v>4</v>
      </c>
      <c r="B9" s="10" t="s">
        <v>49</v>
      </c>
      <c r="C9" s="10" t="s">
        <v>47</v>
      </c>
      <c r="D9" s="19" t="s">
        <v>50</v>
      </c>
      <c r="E9" s="11">
        <v>380.9704</v>
      </c>
      <c r="F9" s="20">
        <v>1.252643</v>
      </c>
      <c r="G9" s="11">
        <v>477.22</v>
      </c>
      <c r="H9" s="21">
        <v>462.24</v>
      </c>
      <c r="I9" s="11">
        <f>F9*H9</f>
        <v>579.02170032</v>
      </c>
      <c r="J9" s="11">
        <f>I9-G9</f>
        <v>101.80170032000001</v>
      </c>
      <c r="K9" s="14">
        <f>IFERROR(J9/G9,0)</f>
        <v>0.2133223677130045</v>
      </c>
      <c r="L9" s="12">
        <v>17</v>
      </c>
      <c r="M9" s="12">
        <f>MAX(0,21-L9)</f>
        <v>4</v>
      </c>
      <c r="N9" s="13">
        <v>0.9280120270881818</v>
      </c>
      <c r="O9" s="10" t="s">
        <v>41</v>
      </c>
    </row>
    <row r="10" spans="1:16" x14ac:dyDescent="0.25">
      <c r="A10" s="10" t="s">
        <v>5</v>
      </c>
      <c r="B10" s="10" t="s">
        <v>51</v>
      </c>
      <c r="C10" s="10" t="s">
        <v>47</v>
      </c>
      <c r="D10" s="19" t="s">
        <v>52</v>
      </c>
      <c r="E10" s="11">
        <v>60.1501</v>
      </c>
      <c r="F10" s="20">
        <v>7.895088</v>
      </c>
      <c r="G10" s="11">
        <v>474.89</v>
      </c>
      <c r="H10" s="21">
        <v>60.05</v>
      </c>
      <c r="I10" s="11">
        <f>F10*H10</f>
        <v>474.10003439999997</v>
      </c>
      <c r="J10" s="11">
        <f>I10-G10</f>
        <v>-0.7899656000000164</v>
      </c>
      <c r="K10" s="14">
        <f>IFERROR(J10/G10,0)</f>
        <v>-0.0016634706984775768</v>
      </c>
      <c r="L10" s="12">
        <v>14</v>
      </c>
      <c r="M10" s="12">
        <f>MAX(0,21-L10)</f>
        <v>7</v>
      </c>
      <c r="N10" s="13">
        <v>0.8840484909760108</v>
      </c>
      <c r="O10" s="10" t="s">
        <v>41</v>
      </c>
    </row>
    <row r="11" spans="1:16" x14ac:dyDescent="0.25">
      <c r="A11" s="10" t="s">
        <v>6</v>
      </c>
      <c r="B11" s="10" t="s">
        <v>53</v>
      </c>
      <c r="C11" s="10" t="s">
        <v>47</v>
      </c>
      <c r="D11" s="19" t="s">
        <v>52</v>
      </c>
      <c r="E11" s="11">
        <v>251.9059</v>
      </c>
      <c r="F11" s="20">
        <v>1.885188</v>
      </c>
      <c r="G11" s="11">
        <v>474.89</v>
      </c>
      <c r="H11" s="21">
        <v>279.98</v>
      </c>
      <c r="I11" s="11">
        <f>F11*H11</f>
        <v>527.8149362400001</v>
      </c>
      <c r="J11" s="11">
        <f>I11-G11</f>
        <v>52.92493624000008</v>
      </c>
      <c r="K11" s="14">
        <f>IFERROR(J11/G11,0)</f>
        <v>0.11144672711575329</v>
      </c>
      <c r="L11" s="12">
        <v>14</v>
      </c>
      <c r="M11" s="12">
        <f>MAX(0,21-L11)</f>
        <v>7</v>
      </c>
      <c r="N11" s="13">
        <v>0.8298272742812407</v>
      </c>
      <c r="O11" s="10" t="s">
        <v>41</v>
      </c>
    </row>
    <row r="12" spans="1:16" x14ac:dyDescent="0.25">
      <c r="A12" s="10" t="s">
        <v>7</v>
      </c>
      <c r="B12" s="10" t="s">
        <v>54</v>
      </c>
      <c r="C12" s="10" t="s">
        <v>47</v>
      </c>
      <c r="D12" s="19" t="s">
        <v>52</v>
      </c>
      <c r="E12" s="11">
        <v>43.7018</v>
      </c>
      <c r="F12" s="20">
        <v>10.86659</v>
      </c>
      <c r="G12" s="11">
        <v>474.89</v>
      </c>
      <c r="H12" s="21">
        <v>45.72</v>
      </c>
      <c r="I12" s="11">
        <f>F12*H12</f>
        <v>496.8204948</v>
      </c>
      <c r="J12" s="11">
        <f>I12-G12</f>
        <v>21.93049480000002</v>
      </c>
      <c r="K12" s="14">
        <f>IFERROR(J12/G12,0)</f>
        <v>0.04618015708901013</v>
      </c>
      <c r="L12" s="12">
        <v>14</v>
      </c>
      <c r="M12" s="12">
        <f>MAX(0,21-L12)</f>
        <v>7</v>
      </c>
      <c r="N12" s="13">
        <v>0.7019116395441239</v>
      </c>
      <c r="O12" s="10" t="s">
        <v>41</v>
      </c>
    </row>
    <row r="13" spans="1:16" x14ac:dyDescent="0.25">
      <c r="A13" s="10" t="s">
        <v>8</v>
      </c>
      <c r="B13" s="10" t="s">
        <v>55</v>
      </c>
      <c r="C13" s="10" t="s">
        <v>39</v>
      </c>
      <c r="D13" s="19" t="s">
        <v>56</v>
      </c>
      <c r="E13" s="11">
        <v>211.3456</v>
      </c>
      <c r="F13" s="20">
        <v>2.301822</v>
      </c>
      <c r="G13" s="11">
        <v>486.48</v>
      </c>
      <c r="H13" s="21">
        <v>230.5</v>
      </c>
      <c r="I13" s="11">
        <f>F13*H13</f>
        <v>530.569971</v>
      </c>
      <c r="J13" s="11">
        <f>I13-G13</f>
        <v>44.08997099999999</v>
      </c>
      <c r="K13" s="14">
        <f>IFERROR(J13/G13,0)</f>
        <v>0.0906305932412432</v>
      </c>
      <c r="L13" s="12">
        <v>10</v>
      </c>
      <c r="M13" s="12">
        <f>MAX(0,21-L13)</f>
        <v>11</v>
      </c>
      <c r="N13" s="13">
        <v>0.6809721702367264</v>
      </c>
      <c r="O13" s="10" t="s">
        <v>41</v>
      </c>
    </row>
    <row r="14" spans="1:16" x14ac:dyDescent="0.25">
      <c r="A14" s="10" t="s">
        <v>9</v>
      </c>
      <c r="B14" s="10" t="s">
        <v>57</v>
      </c>
      <c r="C14" s="10" t="s">
        <v>58</v>
      </c>
      <c r="D14" s="19" t="s">
        <v>56</v>
      </c>
      <c r="E14" s="11">
        <v>383.1915</v>
      </c>
      <c r="F14" s="20">
        <v>1.269548</v>
      </c>
      <c r="G14" s="11">
        <v>486.48</v>
      </c>
      <c r="H14" s="21">
        <v>370.89</v>
      </c>
      <c r="I14" s="11">
        <f>F14*H14</f>
        <v>470.86265771999996</v>
      </c>
      <c r="J14" s="11">
        <f>I14-G14</f>
        <v>-15.61734228000006</v>
      </c>
      <c r="K14" s="14">
        <f>IFERROR(J14/G14,0)</f>
        <v>-0.03210274272323643</v>
      </c>
      <c r="L14" s="12">
        <v>10</v>
      </c>
      <c r="M14" s="12">
        <f>MAX(0,21-L14)</f>
        <v>11</v>
      </c>
      <c r="N14" s="13">
        <v>0.8197914702434592</v>
      </c>
      <c r="O14" s="10" t="s">
        <v>41</v>
      </c>
    </row>
    <row r="15" spans="1:16" x14ac:dyDescent="0.25">
      <c r="A15" s="10" t="s">
        <v>10</v>
      </c>
      <c r="B15" s="10" t="s">
        <v>59</v>
      </c>
      <c r="C15" s="10" t="s">
        <v>60</v>
      </c>
      <c r="D15" s="19" t="s">
        <v>56</v>
      </c>
      <c r="E15" s="11">
        <v>339.2795</v>
      </c>
      <c r="F15" s="20">
        <v>1.433862</v>
      </c>
      <c r="G15" s="11">
        <v>486.48</v>
      </c>
      <c r="H15" s="21">
        <v>343.6</v>
      </c>
      <c r="I15" s="11">
        <f>F15*H15</f>
        <v>492.67498320000004</v>
      </c>
      <c r="J15" s="11">
        <f>I15-G15</f>
        <v>6.194983200000024</v>
      </c>
      <c r="K15" s="14">
        <f>IFERROR(J15/G15,0)</f>
        <v>0.012734301924025703</v>
      </c>
      <c r="L15" s="12">
        <v>10</v>
      </c>
      <c r="M15" s="12">
        <f>MAX(0,21-L15)</f>
        <v>11</v>
      </c>
      <c r="N15" s="13">
        <v>0.776423257523575</v>
      </c>
      <c r="O15" s="10" t="s">
        <v>41</v>
      </c>
    </row>
    <row r="16" spans="1:16" x14ac:dyDescent="0.25">
      <c r="A16" s="10" t="s">
        <v>11</v>
      </c>
      <c r="B16" s="10" t="s">
        <v>61</v>
      </c>
      <c r="C16" s="10" t="s">
        <v>62</v>
      </c>
      <c r="D16" s="19" t="s">
        <v>56</v>
      </c>
      <c r="E16" s="11">
        <v>67.3437</v>
      </c>
      <c r="F16" s="20">
        <v>7.223843</v>
      </c>
      <c r="G16" s="11">
        <v>486.48</v>
      </c>
      <c r="H16" s="21">
        <v>64.76000000000001</v>
      </c>
      <c r="I16" s="11">
        <f>F16*H16</f>
        <v>467.81607268</v>
      </c>
      <c r="J16" s="11">
        <f>I16-G16</f>
        <v>-18.663927320000028</v>
      </c>
      <c r="K16" s="14">
        <f>IFERROR(J16/G16,0)</f>
        <v>-0.038365251027791536</v>
      </c>
      <c r="L16" s="12">
        <v>10</v>
      </c>
      <c r="M16" s="12">
        <f>MAX(0,21-L16)</f>
        <v>11</v>
      </c>
      <c r="N16" s="13">
        <v>0.7994794227521653</v>
      </c>
      <c r="O16" s="10" t="s">
        <v>41</v>
      </c>
    </row>
    <row r="17" spans="1:15" x14ac:dyDescent="0.25">
      <c r="A17" s="10" t="s">
        <v>12</v>
      </c>
      <c r="B17" s="10" t="s">
        <v>63</v>
      </c>
      <c r="C17" s="10" t="s">
        <v>60</v>
      </c>
      <c r="D17" s="19" t="s">
        <v>64</v>
      </c>
      <c r="E17" s="11">
        <v>340.8704</v>
      </c>
      <c r="F17" s="20">
        <v>1.419895</v>
      </c>
      <c r="G17" s="11">
        <v>484</v>
      </c>
      <c r="H17" s="21">
        <v>346.6525</v>
      </c>
      <c r="I17" s="11">
        <f>F17*H17</f>
        <v>492.21015148749996</v>
      </c>
      <c r="J17" s="11">
        <f>I17-G17</f>
        <v>8.210151487499957</v>
      </c>
      <c r="K17" s="14">
        <f>IFERROR(J17/G17,0)</f>
        <v>0.01696312290805776</v>
      </c>
      <c r="L17" s="12">
        <v>6</v>
      </c>
      <c r="M17" s="12">
        <f>MAX(0,21-L17)</f>
        <v>15</v>
      </c>
      <c r="N17" s="13">
        <v>0.8410723709429708</v>
      </c>
      <c r="O17" s="10" t="s">
        <v>41</v>
      </c>
    </row>
    <row r="18" spans="1:15" x14ac:dyDescent="0.25">
      <c r="A18" s="10" t="s">
        <v>13</v>
      </c>
      <c r="B18" s="10" t="s">
        <v>65</v>
      </c>
      <c r="C18" s="10" t="s">
        <v>58</v>
      </c>
      <c r="D18" s="19" t="s">
        <v>64</v>
      </c>
      <c r="E18" s="11">
        <v>228.7943</v>
      </c>
      <c r="F18" s="20">
        <v>2.115437</v>
      </c>
      <c r="G18" s="11">
        <v>484</v>
      </c>
      <c r="H18" s="21">
        <v>231.1</v>
      </c>
      <c r="I18" s="11">
        <f>F18*H18</f>
        <v>488.8774907</v>
      </c>
      <c r="J18" s="11">
        <f>I18-G18</f>
        <v>4.87749070000001</v>
      </c>
      <c r="K18" s="14">
        <f>IFERROR(J18/G18,0)</f>
        <v>0.010077460123966963</v>
      </c>
      <c r="L18" s="12">
        <v>6</v>
      </c>
      <c r="M18" s="12">
        <f>MAX(0,21-L18)</f>
        <v>15</v>
      </c>
      <c r="N18" s="13">
        <v>0.6643531276938139</v>
      </c>
      <c r="O18" s="10" t="s">
        <v>41</v>
      </c>
    </row>
    <row r="19" spans="1:15" x14ac:dyDescent="0.25">
      <c r="A19" s="10" t="s">
        <v>14</v>
      </c>
      <c r="B19" s="10" t="s">
        <v>66</v>
      </c>
      <c r="C19" s="10" t="s">
        <v>67</v>
      </c>
      <c r="D19" s="19" t="s">
        <v>64</v>
      </c>
      <c r="E19" s="11">
        <v>156.6783</v>
      </c>
      <c r="F19" s="20">
        <v>3.089132</v>
      </c>
      <c r="G19" s="11">
        <v>484</v>
      </c>
      <c r="H19" s="21">
        <v>155.9025</v>
      </c>
      <c r="I19" s="11">
        <f>F19*H19</f>
        <v>481.60340163000006</v>
      </c>
      <c r="J19" s="11">
        <f>I19-G19</f>
        <v>-2.3965983699999356</v>
      </c>
      <c r="K19" s="14">
        <f>IFERROR(J19/G19,0)</f>
        <v>-0.0049516495247932555</v>
      </c>
      <c r="L19" s="12">
        <v>6</v>
      </c>
      <c r="M19" s="12">
        <f>MAX(0,21-L19)</f>
        <v>15</v>
      </c>
      <c r="N19" s="13">
        <v>0.6369924288836575</v>
      </c>
      <c r="O19" s="10" t="s">
        <v>41</v>
      </c>
    </row>
    <row r="20" spans="1:15" x14ac:dyDescent="0.25">
      <c r="A20" s="10" t="s">
        <v>15</v>
      </c>
      <c r="B20" s="10" t="s">
        <v>68</v>
      </c>
      <c r="C20" s="10" t="s">
        <v>62</v>
      </c>
      <c r="D20" s="19" t="s">
        <v>64</v>
      </c>
      <c r="E20" s="11">
        <v>123.3216</v>
      </c>
      <c r="F20" s="20">
        <v>3.924697</v>
      </c>
      <c r="G20" s="11">
        <v>484</v>
      </c>
      <c r="H20" s="21">
        <v>113.26</v>
      </c>
      <c r="I20" s="11">
        <f>F20*H20</f>
        <v>444.51118222</v>
      </c>
      <c r="J20" s="11">
        <f>I20-G20</f>
        <v>-39.48881777999998</v>
      </c>
      <c r="K20" s="14">
        <f>IFERROR(J20/G20,0)</f>
        <v>-0.08158846648760326</v>
      </c>
      <c r="L20" s="12">
        <v>6</v>
      </c>
      <c r="M20" s="12">
        <f>MAX(0,21-L20)</f>
        <v>15</v>
      </c>
      <c r="N20" s="13">
        <v>0.662112373894027</v>
      </c>
      <c r="O20" s="10" t="s">
        <v>41</v>
      </c>
    </row>
    <row r="21" spans="1:15" x14ac:dyDescent="0.25">
      <c r="A21" s="10" t="s">
        <v>16</v>
      </c>
      <c r="B21" s="10" t="s">
        <v>69</v>
      </c>
      <c r="C21" s="10" t="s">
        <v>70</v>
      </c>
      <c r="D21" s="19" t="s">
        <v>71</v>
      </c>
      <c r="E21" s="11">
        <v>251.7358</v>
      </c>
      <c r="F21" s="20">
        <v>1.93286</v>
      </c>
      <c r="G21" s="11">
        <v>486.57</v>
      </c>
      <c r="H21" s="21">
        <v>254.08</v>
      </c>
      <c r="I21" s="11">
        <f>F21*H21</f>
        <v>491.1010688</v>
      </c>
      <c r="J21" s="11">
        <f>I21-G21</f>
        <v>4.531068800000014</v>
      </c>
      <c r="K21" s="14">
        <f>IFERROR(J21/G21,0)</f>
        <v>0.00931226503894612</v>
      </c>
      <c r="L21" s="12">
        <v>4</v>
      </c>
      <c r="M21" s="12">
        <f>MAX(0,21-L21)</f>
        <v>17</v>
      </c>
      <c r="N21" s="13">
        <v>0.6121263867209685</v>
      </c>
      <c r="O21" s="10" t="s">
        <v>41</v>
      </c>
    </row>
    <row r="22" spans="1:15" x14ac:dyDescent="0.25">
      <c r="A22" s="10" t="s">
        <v>17</v>
      </c>
      <c r="B22" s="10" t="s">
        <v>72</v>
      </c>
      <c r="C22" s="10" t="s">
        <v>62</v>
      </c>
      <c r="D22" s="19" t="s">
        <v>71</v>
      </c>
      <c r="E22" s="11">
        <v>273.3566</v>
      </c>
      <c r="F22" s="20">
        <v>1.779983</v>
      </c>
      <c r="G22" s="11">
        <v>486.57</v>
      </c>
      <c r="H22" s="21">
        <v>261.775</v>
      </c>
      <c r="I22" s="11">
        <f>F22*H22</f>
        <v>465.955049825</v>
      </c>
      <c r="J22" s="11">
        <f>I22-G22</f>
        <v>-20.61495017499999</v>
      </c>
      <c r="K22" s="14">
        <f>IFERROR(J22/G22,0)</f>
        <v>-0.04236790220317732</v>
      </c>
      <c r="L22" s="12">
        <v>4</v>
      </c>
      <c r="M22" s="12">
        <f>MAX(0,21-L22)</f>
        <v>17</v>
      </c>
      <c r="N22" s="13">
        <v>0.6100566751620263</v>
      </c>
      <c r="O22" s="10" t="s">
        <v>41</v>
      </c>
    </row>
    <row r="23" spans="1:15" x14ac:dyDescent="0.25">
      <c r="A23" s="10" t="s">
        <v>18</v>
      </c>
      <c r="B23" s="10" t="s">
        <v>73</v>
      </c>
      <c r="C23" s="10" t="s">
        <v>67</v>
      </c>
      <c r="D23" s="19" t="s">
        <v>74</v>
      </c>
      <c r="E23" s="11">
        <v>113.3066</v>
      </c>
      <c r="F23" s="20">
        <v>4.324196</v>
      </c>
      <c r="G23" s="11">
        <v>489.96</v>
      </c>
      <c r="H23" s="21">
        <v>118.97</v>
      </c>
      <c r="I23" s="11">
        <f>F23*H23</f>
        <v>514.4495981199999</v>
      </c>
      <c r="J23" s="11">
        <f>I23-G23</f>
        <v>24.489598119999926</v>
      </c>
      <c r="K23" s="14">
        <f>IFERROR(J23/G23,0)</f>
        <v>0.049982851906277916</v>
      </c>
      <c r="L23" s="12">
        <v>3</v>
      </c>
      <c r="M23" s="12">
        <f>MAX(0,21-L23)</f>
        <v>18</v>
      </c>
      <c r="N23" s="13">
        <v>0.5689208109667999</v>
      </c>
      <c r="O23" s="10" t="s">
        <v>41</v>
      </c>
    </row>
    <row r="24" spans="1:15" x14ac:dyDescent="0.25">
      <c r="A24" s="10" t="s">
        <v>19</v>
      </c>
      <c r="B24" s="10" t="s">
        <v>75</v>
      </c>
      <c r="C24" s="10" t="s">
        <v>62</v>
      </c>
      <c r="D24" s="19" t="s">
        <v>76</v>
      </c>
      <c r="E24" s="11">
        <v>224.6423</v>
      </c>
      <c r="F24" s="20">
        <v>1.64644</v>
      </c>
      <c r="G24" s="11">
        <v>369.86</v>
      </c>
      <c r="H24" s="21">
        <v>219.23</v>
      </c>
      <c r="I24" s="11">
        <f>F24*H24</f>
        <v>360.94904119999995</v>
      </c>
      <c r="J24" s="11">
        <f>I24-G24</f>
        <v>-8.91095880000006</v>
      </c>
      <c r="K24" s="14">
        <f>IFERROR(J24/G24,0)</f>
        <v>-0.024092788622722273</v>
      </c>
      <c r="L24" s="12">
        <v>2</v>
      </c>
      <c r="M24" s="12">
        <f>MAX(0,21-L24)</f>
        <v>19</v>
      </c>
      <c r="N24" s="13">
        <v>0.5555859964967851</v>
      </c>
      <c r="O24" s="10" t="s">
        <v>41</v>
      </c>
    </row>
    <row r="25" spans="1:15" x14ac:dyDescent="0.25">
      <c r="F25" s="16" t="s">
        <v>77</v>
      </c>
      <c r="G25" s="11">
        <f>SUM(G5:G24)</f>
        <v>9523.809999999998</v>
      </c>
      <c r="I25" s="11">
        <f>SUM(I5:I24)</f>
        <v>9799.47</v>
      </c>
      <c r="J25" s="11">
        <f>SUM(J5:J24)</f>
        <v>275.6600000000001</v>
      </c>
      <c r="K25" s="14">
        <f>IFERROR(J25/G25,0)</f>
        <v>0</v>
      </c>
    </row>
  </sheetData>
  <autoFilter ref="A4:P24"/>
  <conditionalFormatting sqref="K5:K24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24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M5:M24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78</v>
      </c>
    </row>
    <row r="2" spans="1:15">
      <c r="A2" s="2" t="s">
        <v>79</v>
      </c>
    </row>
    <row r="4" spans="1:15" ht="30" customHeight="1">
      <c r="A4" s="18" t="s">
        <v>80</v>
      </c>
      <c r="B4" s="18" t="s">
        <v>22</v>
      </c>
      <c r="C4" s="18" t="s">
        <v>24</v>
      </c>
      <c r="D4" s="18" t="s">
        <v>81</v>
      </c>
      <c r="E4" s="18" t="s">
        <v>26</v>
      </c>
      <c r="F4" s="18" t="s">
        <v>82</v>
      </c>
      <c r="G4" s="18" t="s">
        <v>83</v>
      </c>
      <c r="H4" s="18" t="s">
        <v>27</v>
      </c>
      <c r="I4" s="18" t="s">
        <v>28</v>
      </c>
      <c r="J4" s="18" t="s">
        <v>84</v>
      </c>
      <c r="K4" s="18" t="s">
        <v>31</v>
      </c>
      <c r="L4" s="18" t="s">
        <v>32</v>
      </c>
      <c r="M4" s="18" t="s">
        <v>85</v>
      </c>
      <c r="N4" s="18" t="s">
        <v>35</v>
      </c>
      <c r="O4" s="18" t="s">
        <v>86</v>
      </c>
    </row>
    <row r="5" spans="1:15">
      <c r="A5" s="22">
        <v>1</v>
      </c>
      <c r="B5" s="23" t="s">
        <v>87</v>
      </c>
      <c r="C5" s="23" t="s">
        <v>39</v>
      </c>
      <c r="D5" s="22" t="s">
        <v>88</v>
      </c>
      <c r="E5" s="11">
        <v>443.1115</v>
      </c>
      <c r="F5" s="22" t="s">
        <v>89</v>
      </c>
      <c r="G5" s="11">
        <v>568.5155999999999</v>
      </c>
      <c r="H5" s="20">
        <v>1.074651</v>
      </c>
      <c r="I5" s="11">
        <v>476.19</v>
      </c>
      <c r="J5" s="11">
        <v>610.96</v>
      </c>
      <c r="K5" s="11">
        <f>J5-I5</f>
        <v>134.77000000000004</v>
      </c>
      <c r="L5" s="14">
        <f>IFERROR(K5/I5,0)</f>
        <v>0.283009</v>
      </c>
      <c r="M5" s="12">
        <v>22</v>
      </c>
      <c r="N5" s="13">
        <v>2.927623067210654</v>
      </c>
      <c r="O5" s="23" t="s">
        <v>90</v>
      </c>
    </row>
  </sheetData>
  <autoFilter ref="A4:O5"/>
  <conditionalFormatting sqref="L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91</v>
      </c>
    </row>
    <row r="2" spans="1:6">
      <c r="A2" s="2" t="s">
        <v>92</v>
      </c>
    </row>
    <row r="4" spans="1:6" ht="30" customHeight="1">
      <c r="A4" s="18" t="s">
        <v>93</v>
      </c>
      <c r="B4" s="18" t="s">
        <v>94</v>
      </c>
      <c r="C4" s="18" t="s">
        <v>95</v>
      </c>
      <c r="D4" s="18" t="s">
        <v>96</v>
      </c>
      <c r="E4" s="18" t="s">
        <v>97</v>
      </c>
      <c r="F4" s="18" t="s">
        <v>98</v>
      </c>
    </row>
    <row r="5" spans="1:6">
      <c r="A5" s="19" t="s">
        <v>99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88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40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43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45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48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50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100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101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52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102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103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104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56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105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106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107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64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108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71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74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76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109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89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110</v>
      </c>
    </row>
    <row r="2" spans="1:20" x14ac:dyDescent="0.25">
      <c r="A2" s="2" t="s">
        <v>111</v>
      </c>
    </row>
    <row r="4" spans="1:20" ht="30" customHeight="1" x14ac:dyDescent="0.25">
      <c r="A4" s="18" t="s">
        <v>80</v>
      </c>
      <c r="B4" s="18" t="s">
        <v>22</v>
      </c>
      <c r="C4" s="18" t="s">
        <v>23</v>
      </c>
      <c r="D4" s="18" t="s">
        <v>24</v>
      </c>
      <c r="E4" s="18" t="s">
        <v>112</v>
      </c>
      <c r="F4" s="18" t="s">
        <v>113</v>
      </c>
      <c r="G4" s="18" t="s">
        <v>114</v>
      </c>
      <c r="H4" s="18" t="s">
        <v>115</v>
      </c>
      <c r="I4" s="18" t="s">
        <v>116</v>
      </c>
      <c r="J4" s="18" t="s">
        <v>117</v>
      </c>
      <c r="K4" s="18" t="s">
        <v>118</v>
      </c>
      <c r="L4" s="18" t="s">
        <v>119</v>
      </c>
      <c r="M4" s="18" t="s">
        <v>120</v>
      </c>
      <c r="N4" s="18" t="s">
        <v>121</v>
      </c>
      <c r="O4" s="18" t="s">
        <v>122</v>
      </c>
      <c r="P4" s="18" t="s">
        <v>123</v>
      </c>
      <c r="Q4" s="18" t="s">
        <v>124</v>
      </c>
      <c r="R4" s="18" t="s">
        <v>125</v>
      </c>
      <c r="S4" s="18" t="s">
        <v>126</v>
      </c>
      <c r="T4" s="18" t="s">
        <v>127</v>
      </c>
    </row>
    <row r="5" spans="1:20" x14ac:dyDescent="0.25">
      <c r="A5" s="12">
        <v>1</v>
      </c>
      <c r="B5" s="10" t="s">
        <v>3</v>
      </c>
      <c r="C5" s="10" t="s">
        <v>46</v>
      </c>
      <c r="D5" s="10" t="s">
        <v>47</v>
      </c>
      <c r="E5" s="11">
        <v>443.2049865722656</v>
      </c>
      <c r="F5" s="20">
        <v>1.126911877044903</v>
      </c>
      <c r="G5" s="13">
        <v>0.5608233001069692</v>
      </c>
      <c r="H5" s="13">
        <v>-0.6787336641570448</v>
      </c>
      <c r="I5" s="13">
        <v>2.889457700830385</v>
      </c>
      <c r="J5" s="13">
        <v>2.709088306870372</v>
      </c>
      <c r="K5" s="13">
        <v>0.6753553581795787</v>
      </c>
      <c r="L5" s="13">
        <v>0.1281405243273873</v>
      </c>
      <c r="M5" s="13">
        <v>-0.6980283411820921</v>
      </c>
      <c r="N5" s="13">
        <v>16.950356</v>
      </c>
      <c r="O5" s="13">
        <v>4.679258</v>
      </c>
      <c r="P5" s="15">
        <v>0.27637</v>
      </c>
      <c r="Q5" s="15">
        <v>0.517</v>
      </c>
      <c r="R5" s="15">
        <v>0.9014533090698369</v>
      </c>
      <c r="S5" s="12">
        <v>76.99208653977058</v>
      </c>
      <c r="T5" s="10" t="s">
        <v>128</v>
      </c>
    </row>
    <row r="6" spans="1:20" x14ac:dyDescent="0.25">
      <c r="A6" s="12">
        <v>2</v>
      </c>
      <c r="B6" s="10" t="s">
        <v>4</v>
      </c>
      <c r="C6" s="10" t="s">
        <v>49</v>
      </c>
      <c r="D6" s="10" t="s">
        <v>47</v>
      </c>
      <c r="E6" s="11">
        <v>462.239990234375</v>
      </c>
      <c r="F6" s="20">
        <v>1.123760071015307</v>
      </c>
      <c r="G6" s="13">
        <v>0.5719283241998815</v>
      </c>
      <c r="H6" s="13">
        <v>-0.5710514022904659</v>
      </c>
      <c r="I6" s="13">
        <v>2.458659489905401</v>
      </c>
      <c r="J6" s="13">
        <v>2.683233387245641</v>
      </c>
      <c r="K6" s="13">
        <v>0.8531255981518465</v>
      </c>
      <c r="L6" s="13">
        <v>-0.03830471840012115</v>
      </c>
      <c r="M6" s="13">
        <v>-0.4841444601580566</v>
      </c>
      <c r="N6" s="13">
        <v>14.638821</v>
      </c>
      <c r="O6" s="13">
        <v>6.265094</v>
      </c>
      <c r="P6" s="15">
        <v>0.42099</v>
      </c>
      <c r="Q6" s="15">
        <v>0.537</v>
      </c>
      <c r="R6" s="15">
        <v>1.081579378639483</v>
      </c>
      <c r="S6" s="12">
        <v>79.42855288872435</v>
      </c>
      <c r="T6" s="10" t="s">
        <v>128</v>
      </c>
    </row>
    <row r="7" spans="1:20" x14ac:dyDescent="0.25">
      <c r="A7" s="12">
        <v>3</v>
      </c>
      <c r="B7" s="10" t="s">
        <v>0</v>
      </c>
      <c r="C7" s="10" t="s">
        <v>38</v>
      </c>
      <c r="D7" s="10" t="s">
        <v>39</v>
      </c>
      <c r="E7" s="11">
        <v>1037.930053710938</v>
      </c>
      <c r="F7" s="20">
        <v>1.081154337379512</v>
      </c>
      <c r="G7" s="13">
        <v>-0.1593145350616495</v>
      </c>
      <c r="H7" s="13">
        <v>2.150112733470627</v>
      </c>
      <c r="I7" s="13">
        <v>3.98239266248428</v>
      </c>
      <c r="J7" s="13">
        <v>2.07695522636725</v>
      </c>
      <c r="K7" s="13">
        <v>-0.356699646103866</v>
      </c>
      <c r="L7" s="13">
        <v>-2.678520638841762</v>
      </c>
      <c r="M7" s="13">
        <v>-0.6499715245040546</v>
      </c>
      <c r="N7" s="13">
        <v>14.451332</v>
      </c>
      <c r="O7" s="13">
        <v>12.048311</v>
      </c>
      <c r="P7" s="15">
        <v>0.8826000000000001</v>
      </c>
      <c r="Q7" s="15">
        <v>3.793</v>
      </c>
      <c r="R7" s="15">
        <v>1.462787753379528</v>
      </c>
      <c r="S7" s="12">
        <v>51.50795945124582</v>
      </c>
      <c r="T7" s="10" t="s">
        <v>128</v>
      </c>
    </row>
    <row r="8" spans="1:20" x14ac:dyDescent="0.25">
      <c r="A8" s="12">
        <v>4</v>
      </c>
      <c r="B8" s="10" t="s">
        <v>129</v>
      </c>
      <c r="C8" s="10" t="s">
        <v>130</v>
      </c>
      <c r="D8" s="10" t="s">
        <v>39</v>
      </c>
      <c r="E8" s="11">
        <v>70.91000366210938</v>
      </c>
      <c r="F8" s="20">
        <v>1.059639876397163</v>
      </c>
      <c r="G8" s="13">
        <v>0.247981045924682</v>
      </c>
      <c r="H8" s="13">
        <v>-0.5336598621172458</v>
      </c>
      <c r="I8" s="13">
        <v>2.23427577606005</v>
      </c>
      <c r="J8" s="13">
        <v>2.916158493292498</v>
      </c>
      <c r="K8" s="13">
        <v>0</v>
      </c>
      <c r="L8" s="13">
        <v>-1.921358810013353</v>
      </c>
      <c r="M8" s="13">
        <v>-0.1220189511391702</v>
      </c>
      <c r="N8" s="13">
        <v>35.737114</v>
      </c>
      <c r="O8" s="13">
        <v>3.472751</v>
      </c>
      <c r="P8" s="15">
        <v>0.10936</v>
      </c>
      <c r="Q8" s="15">
        <v>0.337</v>
      </c>
      <c r="R8" s="15">
        <v>1.871419449868764</v>
      </c>
      <c r="S8" s="12">
        <v>68.20196991276492</v>
      </c>
      <c r="T8" s="10" t="s">
        <v>128</v>
      </c>
    </row>
    <row r="9" spans="1:20" x14ac:dyDescent="0.25">
      <c r="A9" s="12">
        <v>5</v>
      </c>
      <c r="B9" s="10" t="s">
        <v>131</v>
      </c>
      <c r="C9" s="10" t="s">
        <v>132</v>
      </c>
      <c r="D9" s="10" t="s">
        <v>39</v>
      </c>
      <c r="E9" s="11">
        <v>231.0899963378906</v>
      </c>
      <c r="F9" s="20">
        <v>1.012833102047801</v>
      </c>
      <c r="G9" s="13">
        <v>-0.5898873289196422</v>
      </c>
      <c r="H9" s="13">
        <v>1.364360041640319</v>
      </c>
      <c r="I9" s="13">
        <v>0.4384441196585954</v>
      </c>
      <c r="J9" s="13">
        <v>2.489916868351201</v>
      </c>
      <c r="K9" s="13">
        <v>0</v>
      </c>
      <c r="L9" s="13">
        <v>-0.240797394576804</v>
      </c>
      <c r="M9" s="13">
        <v>0.03504516935671753</v>
      </c>
      <c r="N9" s="13">
        <v>31.95904</v>
      </c>
      <c r="O9" s="13">
        <v>29.663084</v>
      </c>
      <c r="P9" s="15">
        <v>1.14818</v>
      </c>
      <c r="Q9" s="15">
        <v>0.299</v>
      </c>
      <c r="R9" s="15">
        <v>1.422827255233634</v>
      </c>
      <c r="S9" s="12">
        <v>71.85316483276445</v>
      </c>
      <c r="T9" s="10" t="s">
        <v>128</v>
      </c>
    </row>
    <row r="10" spans="1:20" x14ac:dyDescent="0.25">
      <c r="A10" s="12">
        <v>6</v>
      </c>
      <c r="B10" s="10" t="s">
        <v>6</v>
      </c>
      <c r="C10" s="10" t="s">
        <v>53</v>
      </c>
      <c r="D10" s="10" t="s">
        <v>47</v>
      </c>
      <c r="E10" s="11">
        <v>279.9800109863281</v>
      </c>
      <c r="F10" s="20">
        <v>0.9163606290213278</v>
      </c>
      <c r="G10" s="13">
        <v>0.417875360797194</v>
      </c>
      <c r="H10" s="13">
        <v>-0.7858395780360204</v>
      </c>
      <c r="I10" s="13">
        <v>2.427643605051808</v>
      </c>
      <c r="J10" s="13">
        <v>2.301691607930444</v>
      </c>
      <c r="K10" s="13">
        <v>0.7636918045855513</v>
      </c>
      <c r="L10" s="13">
        <v>0.4333614601781883</v>
      </c>
      <c r="M10" s="13">
        <v>-1.050489381020943</v>
      </c>
      <c r="N10" s="13">
        <v>15.101597</v>
      </c>
      <c r="O10" s="13">
        <v>3.3508952</v>
      </c>
      <c r="P10" s="15">
        <v>0.23452999</v>
      </c>
      <c r="Q10" s="15">
        <v>0.531</v>
      </c>
      <c r="R10" s="15">
        <v>0.7601630087355984</v>
      </c>
      <c r="S10" s="12">
        <v>73.92908305723738</v>
      </c>
      <c r="T10" s="10" t="s">
        <v>128</v>
      </c>
    </row>
    <row r="11" spans="1:20" x14ac:dyDescent="0.25">
      <c r="A11" s="12">
        <v>7</v>
      </c>
      <c r="B11" s="10" t="s">
        <v>87</v>
      </c>
      <c r="C11" s="10" t="s">
        <v>133</v>
      </c>
      <c r="D11" s="10" t="s">
        <v>39</v>
      </c>
      <c r="E11" s="11">
        <v>573.7150268554688</v>
      </c>
      <c r="F11" s="20">
        <v>0.8826458820669609</v>
      </c>
      <c r="G11" s="13">
        <v>-0.1020507268082084</v>
      </c>
      <c r="H11" s="13">
        <v>-0.8429982546053808</v>
      </c>
      <c r="I11" s="13">
        <v>2.197120840076886</v>
      </c>
      <c r="J11" s="13">
        <v>2.830284202424679</v>
      </c>
      <c r="K11" s="13">
        <v>1.734295367890928</v>
      </c>
      <c r="L11" s="13">
        <v>-2.866217698538444</v>
      </c>
      <c r="M11" s="13">
        <v>-0.8630624167549702</v>
      </c>
      <c r="N11" s="13">
        <v>32.68565</v>
      </c>
      <c r="O11" s="13">
        <v>-252.25113</v>
      </c>
      <c r="P11" s="15">
        <v>0</v>
      </c>
      <c r="Q11" s="15">
        <v>0.577</v>
      </c>
      <c r="R11" s="15">
        <v>2.17668433435097</v>
      </c>
      <c r="S11" s="12">
        <v>59.14697390008392</v>
      </c>
      <c r="T11" s="10" t="s">
        <v>128</v>
      </c>
    </row>
    <row r="12" spans="1:20" x14ac:dyDescent="0.25">
      <c r="A12" s="12">
        <v>8</v>
      </c>
      <c r="B12" s="10" t="s">
        <v>134</v>
      </c>
      <c r="C12" s="10" t="s">
        <v>135</v>
      </c>
      <c r="D12" s="10" t="s">
        <v>39</v>
      </c>
      <c r="E12" s="11">
        <v>42.28499984741211</v>
      </c>
      <c r="F12" s="20">
        <v>0.8376793415246946</v>
      </c>
      <c r="G12" s="13">
        <v>-0.03145316484583764</v>
      </c>
      <c r="H12" s="13">
        <v>-0.8100724706635599</v>
      </c>
      <c r="I12" s="13">
        <v>3.922713545802811</v>
      </c>
      <c r="J12" s="13">
        <v>1.206701133379654</v>
      </c>
      <c r="K12" s="13">
        <v>3.622281157226033</v>
      </c>
      <c r="L12" s="13">
        <v>-2.992110817092736</v>
      </c>
      <c r="M12" s="13">
        <v>-0.4559534741577778</v>
      </c>
      <c r="N12" s="13">
        <v>13.40184</v>
      </c>
      <c r="O12" s="13">
        <v>2.799026</v>
      </c>
      <c r="P12" s="15">
        <v>0.21465999</v>
      </c>
      <c r="Q12" s="15">
        <v>0.9320000000000001</v>
      </c>
      <c r="R12" s="15">
        <v>0.8210594788042387</v>
      </c>
      <c r="S12" s="12">
        <v>55.38382441683361</v>
      </c>
      <c r="T12" s="10" t="s">
        <v>128</v>
      </c>
    </row>
    <row r="13" spans="1:20" x14ac:dyDescent="0.25">
      <c r="A13" s="12">
        <v>9</v>
      </c>
      <c r="B13" s="10" t="s">
        <v>12</v>
      </c>
      <c r="C13" s="10" t="s">
        <v>63</v>
      </c>
      <c r="D13" s="10" t="s">
        <v>60</v>
      </c>
      <c r="E13" s="11">
        <v>346.6524963378906</v>
      </c>
      <c r="F13" s="20">
        <v>0.824283567454185</v>
      </c>
      <c r="G13" s="13">
        <v>-0.3240370018595447</v>
      </c>
      <c r="H13" s="13">
        <v>1.459783701194476</v>
      </c>
      <c r="I13" s="13">
        <v>1.414981871477047</v>
      </c>
      <c r="J13" s="13">
        <v>0.0992094811426309</v>
      </c>
      <c r="K13" s="13">
        <v>4.053505670818017</v>
      </c>
      <c r="L13" s="13">
        <v>0.06291375589264916</v>
      </c>
      <c r="M13" s="13">
        <v>-0.155146271805352</v>
      </c>
      <c r="N13" s="13">
        <v>17.243977</v>
      </c>
      <c r="O13" s="13">
        <v>6.749057</v>
      </c>
      <c r="P13" s="15">
        <v>0.48676</v>
      </c>
      <c r="Q13" s="15">
        <v>0.242</v>
      </c>
      <c r="R13" s="15">
        <v>0.08977526419049542</v>
      </c>
      <c r="S13" s="12">
        <v>51.95176420269681</v>
      </c>
      <c r="T13" s="10" t="s">
        <v>128</v>
      </c>
    </row>
    <row r="14" spans="1:20" x14ac:dyDescent="0.25">
      <c r="A14" s="12">
        <v>10</v>
      </c>
      <c r="B14" s="10" t="s">
        <v>9</v>
      </c>
      <c r="C14" s="10" t="s">
        <v>57</v>
      </c>
      <c r="D14" s="10" t="s">
        <v>58</v>
      </c>
      <c r="E14" s="11">
        <v>370.8900146484375</v>
      </c>
      <c r="F14" s="20">
        <v>0.7846868061424669</v>
      </c>
      <c r="G14" s="13">
        <v>1.157023636953287</v>
      </c>
      <c r="H14" s="13">
        <v>-0.119715526717399</v>
      </c>
      <c r="I14" s="13">
        <v>-0.3751061753896214</v>
      </c>
      <c r="J14" s="13">
        <v>0.5447321134776782</v>
      </c>
      <c r="K14" s="13">
        <v>4.053505670818017</v>
      </c>
      <c r="L14" s="13">
        <v>0.4959737662258626</v>
      </c>
      <c r="M14" s="13">
        <v>-0.5813885901299511</v>
      </c>
      <c r="N14" s="13">
        <v>9.679829</v>
      </c>
      <c r="O14" s="13">
        <v>2.2697098</v>
      </c>
      <c r="P14" s="15">
        <v>0.26511</v>
      </c>
      <c r="Q14" s="15">
        <v>0.003</v>
      </c>
      <c r="R14" s="15">
        <v>0.2324437725829185</v>
      </c>
      <c r="S14" s="12">
        <v>57.14961116612521</v>
      </c>
      <c r="T14" s="10" t="s">
        <v>128</v>
      </c>
    </row>
    <row r="15" spans="1:20" x14ac:dyDescent="0.25">
      <c r="A15" s="12">
        <v>11</v>
      </c>
      <c r="B15" s="10" t="s">
        <v>5</v>
      </c>
      <c r="C15" s="10" t="s">
        <v>51</v>
      </c>
      <c r="D15" s="10" t="s">
        <v>47</v>
      </c>
      <c r="E15" s="11">
        <v>60.04999923706055</v>
      </c>
      <c r="F15" s="20">
        <v>0.7441359258024959</v>
      </c>
      <c r="G15" s="13">
        <v>0.5635956445072656</v>
      </c>
      <c r="H15" s="13">
        <v>0.614588682440553</v>
      </c>
      <c r="I15" s="13">
        <v>2.934384420890633</v>
      </c>
      <c r="J15" s="13">
        <v>0.4886938387981778</v>
      </c>
      <c r="K15" s="13">
        <v>1.002364811955726</v>
      </c>
      <c r="L15" s="13">
        <v>0.1496014330995104</v>
      </c>
      <c r="M15" s="13">
        <v>-0.3118992068559348</v>
      </c>
      <c r="N15" s="13">
        <v>17.132744</v>
      </c>
      <c r="O15" s="13">
        <v>1.7353371</v>
      </c>
      <c r="P15" s="15">
        <v>0.10629</v>
      </c>
      <c r="Q15" s="15">
        <v>0.534</v>
      </c>
      <c r="R15" s="15">
        <v>0.03543804528361316</v>
      </c>
      <c r="S15" s="12">
        <v>57.90549112143525</v>
      </c>
      <c r="T15" s="10" t="s">
        <v>128</v>
      </c>
    </row>
    <row r="16" spans="1:20" x14ac:dyDescent="0.25">
      <c r="A16" s="12">
        <v>12</v>
      </c>
      <c r="B16" s="10" t="s">
        <v>1</v>
      </c>
      <c r="C16" s="10" t="s">
        <v>42</v>
      </c>
      <c r="D16" s="10" t="s">
        <v>39</v>
      </c>
      <c r="E16" s="11">
        <v>1605.800048828125</v>
      </c>
      <c r="F16" s="20">
        <v>0.7178719256684057</v>
      </c>
      <c r="G16" s="13">
        <v>-0.4890899962055227</v>
      </c>
      <c r="H16" s="13">
        <v>2.056249880346149</v>
      </c>
      <c r="I16" s="13">
        <v>4.091481883216078</v>
      </c>
      <c r="J16" s="13">
        <v>1.089887021683769</v>
      </c>
      <c r="K16" s="13">
        <v>0.1200976950563219</v>
      </c>
      <c r="L16" s="13">
        <v>-2.992110817092736</v>
      </c>
      <c r="M16" s="13">
        <v>-1.176140313473963</v>
      </c>
      <c r="N16" s="13">
        <v>23.309256</v>
      </c>
      <c r="O16" s="13">
        <v>16.286087</v>
      </c>
      <c r="P16" s="15">
        <v>0.9164</v>
      </c>
      <c r="Q16" s="15">
        <v>3.716</v>
      </c>
      <c r="R16" s="15">
        <v>0.8856935249209028</v>
      </c>
      <c r="S16" s="12">
        <v>45.26683003625369</v>
      </c>
      <c r="T16" s="10" t="s">
        <v>128</v>
      </c>
    </row>
    <row r="17" spans="1:20" x14ac:dyDescent="0.25">
      <c r="A17" s="12">
        <v>13</v>
      </c>
      <c r="B17" s="10" t="s">
        <v>11</v>
      </c>
      <c r="C17" s="10" t="s">
        <v>61</v>
      </c>
      <c r="D17" s="10" t="s">
        <v>62</v>
      </c>
      <c r="E17" s="11">
        <v>64.76000213623047</v>
      </c>
      <c r="F17" s="20">
        <v>0.6764182981145851</v>
      </c>
      <c r="G17" s="13">
        <v>1.227866124214571</v>
      </c>
      <c r="H17" s="13">
        <v>-1.366234708968586</v>
      </c>
      <c r="I17" s="13">
        <v>-0.5838568810772288</v>
      </c>
      <c r="J17" s="13">
        <v>0.8264599931699078</v>
      </c>
      <c r="K17" s="13">
        <v>4.053505670818017</v>
      </c>
      <c r="L17" s="13">
        <v>-0.04162960647816023</v>
      </c>
      <c r="M17" s="13">
        <v>0.00655919047767789</v>
      </c>
      <c r="N17" s="13">
        <v>11.778764</v>
      </c>
      <c r="O17" s="13">
        <v>1.3791518</v>
      </c>
      <c r="P17" s="15">
        <v>-0.20358999</v>
      </c>
      <c r="Q17" s="15">
        <v>0.046</v>
      </c>
      <c r="R17" s="15">
        <v>0.7246339135025759</v>
      </c>
      <c r="S17" s="12">
        <v>52.28921488728933</v>
      </c>
      <c r="T17" s="10" t="s">
        <v>128</v>
      </c>
    </row>
    <row r="18" spans="1:20" x14ac:dyDescent="0.25">
      <c r="A18" s="12">
        <v>14</v>
      </c>
      <c r="B18" s="10" t="s">
        <v>14</v>
      </c>
      <c r="C18" s="10" t="s">
        <v>66</v>
      </c>
      <c r="D18" s="10" t="s">
        <v>67</v>
      </c>
      <c r="E18" s="11">
        <v>155.9024963378906</v>
      </c>
      <c r="F18" s="20">
        <v>0.6482332712377955</v>
      </c>
      <c r="G18" s="13">
        <v>0.458736225579167</v>
      </c>
      <c r="H18" s="13">
        <v>-0.5571550118778178</v>
      </c>
      <c r="I18" s="13">
        <v>-0.03073722755982558</v>
      </c>
      <c r="J18" s="13">
        <v>0.8493110121013773</v>
      </c>
      <c r="K18" s="13">
        <v>3.527909301438286</v>
      </c>
      <c r="L18" s="13">
        <v>0.448087065236268</v>
      </c>
      <c r="M18" s="13">
        <v>-0.5893546053400598</v>
      </c>
      <c r="N18" s="13">
        <v>16.182571</v>
      </c>
      <c r="O18" s="13">
        <v>3.97179</v>
      </c>
      <c r="P18" s="15">
        <v>0.26408002</v>
      </c>
      <c r="Q18" s="15">
        <v>0.053</v>
      </c>
      <c r="R18" s="15">
        <v>0.2785891055655501</v>
      </c>
      <c r="S18" s="12">
        <v>49.62566718671048</v>
      </c>
      <c r="T18" s="10" t="s">
        <v>128</v>
      </c>
    </row>
    <row r="19" spans="1:20" x14ac:dyDescent="0.25">
      <c r="A19" s="12">
        <v>15</v>
      </c>
      <c r="B19" s="10" t="s">
        <v>18</v>
      </c>
      <c r="C19" s="10" t="s">
        <v>73</v>
      </c>
      <c r="D19" s="10" t="s">
        <v>67</v>
      </c>
      <c r="E19" s="11">
        <v>118.9700012207031</v>
      </c>
      <c r="F19" s="20">
        <v>0.6271049699935198</v>
      </c>
      <c r="G19" s="13">
        <v>0.4086985785071914</v>
      </c>
      <c r="H19" s="13">
        <v>-0.1224082745840677</v>
      </c>
      <c r="I19" s="13">
        <v>0.4870648270709046</v>
      </c>
      <c r="J19" s="13">
        <v>0.006835483505656072</v>
      </c>
      <c r="K19" s="13">
        <v>4.053505670818017</v>
      </c>
      <c r="L19" s="13">
        <v>0.1002719285057883</v>
      </c>
      <c r="M19" s="13">
        <v>0.3741303228547428</v>
      </c>
      <c r="N19" s="13">
        <v>13.728274</v>
      </c>
      <c r="O19" s="13">
        <v>6.145417</v>
      </c>
      <c r="P19" s="15">
        <v>0.46032003</v>
      </c>
      <c r="Q19" s="15">
        <v>0.07000000000000001</v>
      </c>
      <c r="R19" s="15">
        <v>0.1595516860627542</v>
      </c>
      <c r="S19" s="12">
        <v>52.81024937591118</v>
      </c>
      <c r="T19" s="10" t="s">
        <v>128</v>
      </c>
    </row>
    <row r="20" spans="1:20" x14ac:dyDescent="0.25">
      <c r="A20" s="12">
        <v>16</v>
      </c>
      <c r="B20" s="10" t="s">
        <v>16</v>
      </c>
      <c r="C20" s="10" t="s">
        <v>69</v>
      </c>
      <c r="D20" s="10" t="s">
        <v>70</v>
      </c>
      <c r="E20" s="11">
        <v>254.0800018310547</v>
      </c>
      <c r="F20" s="20">
        <v>0.6253866478950925</v>
      </c>
      <c r="G20" s="13">
        <v>-0.0192271310826416</v>
      </c>
      <c r="H20" s="13">
        <v>0.1598692784606006</v>
      </c>
      <c r="I20" s="13">
        <v>1.040595857895933</v>
      </c>
      <c r="J20" s="13">
        <v>0.1107302985019277</v>
      </c>
      <c r="K20" s="13">
        <v>4.053505670818017</v>
      </c>
      <c r="L20" s="13">
        <v>-0.4862998574222859</v>
      </c>
      <c r="M20" s="13">
        <v>0.1093385317909413</v>
      </c>
      <c r="N20" s="13">
        <v>20.234915</v>
      </c>
      <c r="O20" s="13">
        <v>4.9167256</v>
      </c>
      <c r="P20" s="15">
        <v>0.30558002</v>
      </c>
      <c r="Q20" s="15">
        <v>0.196</v>
      </c>
      <c r="R20" s="15">
        <v>0.08743851259684421</v>
      </c>
      <c r="S20" s="12">
        <v>50.83863675738066</v>
      </c>
      <c r="T20" s="10" t="s">
        <v>128</v>
      </c>
    </row>
    <row r="21" spans="1:20" x14ac:dyDescent="0.25">
      <c r="A21" s="12">
        <v>17</v>
      </c>
      <c r="B21" s="10" t="s">
        <v>136</v>
      </c>
      <c r="C21" s="10" t="s">
        <v>137</v>
      </c>
      <c r="D21" s="10" t="s">
        <v>39</v>
      </c>
      <c r="E21" s="11">
        <v>223.8600006103516</v>
      </c>
      <c r="F21" s="20">
        <v>0.6213510994666637</v>
      </c>
      <c r="G21" s="13">
        <v>0.4025852595515658</v>
      </c>
      <c r="H21" s="13">
        <v>0.5365165526684268</v>
      </c>
      <c r="I21" s="13">
        <v>0.2045922725886486</v>
      </c>
      <c r="J21" s="13">
        <v>0.6140536163607105</v>
      </c>
      <c r="K21" s="13">
        <v>3.776458433251364</v>
      </c>
      <c r="L21" s="13">
        <v>-1.802717279636437</v>
      </c>
      <c r="M21" s="13">
        <v>-1.083052288232777</v>
      </c>
      <c r="N21" s="13">
        <v>21.511457</v>
      </c>
      <c r="O21" s="13">
        <v>5.03281</v>
      </c>
      <c r="P21" s="15">
        <v>0.19381</v>
      </c>
      <c r="Q21" s="15">
        <v>0.108</v>
      </c>
      <c r="R21" s="15">
        <v>0.3159649344851529</v>
      </c>
      <c r="S21" s="12">
        <v>43.41693106245736</v>
      </c>
      <c r="T21" s="10" t="s">
        <v>128</v>
      </c>
    </row>
    <row r="22" spans="1:20" x14ac:dyDescent="0.25">
      <c r="A22" s="12">
        <v>18</v>
      </c>
      <c r="B22" s="10" t="s">
        <v>138</v>
      </c>
      <c r="C22" s="10" t="s">
        <v>139</v>
      </c>
      <c r="D22" s="10" t="s">
        <v>39</v>
      </c>
      <c r="E22" s="11">
        <v>189.0149993896484</v>
      </c>
      <c r="F22" s="20">
        <v>0.5870645694630445</v>
      </c>
      <c r="G22" s="13">
        <v>-2.064128721767363</v>
      </c>
      <c r="H22" s="13">
        <v>1.768298141618788</v>
      </c>
      <c r="I22" s="13">
        <v>0.2289594453101543</v>
      </c>
      <c r="J22" s="13">
        <v>2.248650754176033</v>
      </c>
      <c r="K22" s="13">
        <v>0.4937444031461815</v>
      </c>
      <c r="L22" s="13">
        <v>-0.5775174853734575</v>
      </c>
      <c r="M22" s="13">
        <v>-0.5801176664599497</v>
      </c>
      <c r="N22" s="13">
        <v>64.166664</v>
      </c>
      <c r="O22" s="13">
        <v>85.59602</v>
      </c>
      <c r="P22" s="15">
        <v>1.17442</v>
      </c>
      <c r="Q22" s="15">
        <v>0.256</v>
      </c>
      <c r="R22" s="15">
        <v>1.343354708753127</v>
      </c>
      <c r="S22" s="12">
        <v>68.4660259558279</v>
      </c>
      <c r="T22" s="10" t="s">
        <v>128</v>
      </c>
    </row>
    <row r="23" spans="1:20" x14ac:dyDescent="0.25">
      <c r="A23" s="12">
        <v>19</v>
      </c>
      <c r="B23" s="10" t="s">
        <v>140</v>
      </c>
      <c r="C23" s="10" t="s">
        <v>141</v>
      </c>
      <c r="D23" s="10" t="s">
        <v>39</v>
      </c>
      <c r="E23" s="11">
        <v>382.5950012207031</v>
      </c>
      <c r="F23" s="20">
        <v>0.548805044618753</v>
      </c>
      <c r="G23" s="13">
        <v>0.06680461853698441</v>
      </c>
      <c r="H23" s="13">
        <v>-0.2382250256299731</v>
      </c>
      <c r="I23" s="13">
        <v>0.4710104351601621</v>
      </c>
      <c r="J23" s="13">
        <v>1.556757266127551</v>
      </c>
      <c r="K23" s="13">
        <v>1.841835389602547</v>
      </c>
      <c r="L23" s="13">
        <v>-1.792697950964816</v>
      </c>
      <c r="M23" s="13">
        <v>-0.6586296958225855</v>
      </c>
      <c r="N23" s="13">
        <v>34.482567</v>
      </c>
      <c r="O23" s="13">
        <v>5.1853485</v>
      </c>
      <c r="P23" s="15">
        <v>0.15286</v>
      </c>
      <c r="Q23" s="15">
        <v>0.204</v>
      </c>
      <c r="R23" s="15">
        <v>0.7151342119455102</v>
      </c>
      <c r="S23" s="12">
        <v>65.28781396335785</v>
      </c>
      <c r="T23" s="10" t="s">
        <v>128</v>
      </c>
    </row>
    <row r="24" spans="1:20" x14ac:dyDescent="0.25">
      <c r="A24" s="12">
        <v>20</v>
      </c>
      <c r="B24" s="10" t="s">
        <v>19</v>
      </c>
      <c r="C24" s="10" t="s">
        <v>75</v>
      </c>
      <c r="D24" s="10" t="s">
        <v>62</v>
      </c>
      <c r="E24" s="11">
        <v>219.2299957275391</v>
      </c>
      <c r="F24" s="20">
        <v>0.5442958745080955</v>
      </c>
      <c r="G24" s="13">
        <v>0.1955997684952965</v>
      </c>
      <c r="H24" s="13">
        <v>0.02741996157637986</v>
      </c>
      <c r="I24" s="13">
        <v>-0.9032146122193362</v>
      </c>
      <c r="J24" s="13">
        <v>0.5821605073865312</v>
      </c>
      <c r="K24" s="13">
        <v>3.612953706363291</v>
      </c>
      <c r="L24" s="13">
        <v>0.419736847397063</v>
      </c>
      <c r="M24" s="13">
        <v>-0.4795578034340398</v>
      </c>
      <c r="N24" s="13">
        <v>39.546764</v>
      </c>
      <c r="O24" s="13">
        <v>1.7230625</v>
      </c>
      <c r="P24" s="15">
        <v>0.04575</v>
      </c>
      <c r="Q24" s="15">
        <v>0.034</v>
      </c>
      <c r="R24" s="15">
        <v>0.2378182766192465</v>
      </c>
      <c r="S24" s="12">
        <v>47.70281023360193</v>
      </c>
      <c r="T24" s="10" t="s">
        <v>128</v>
      </c>
    </row>
    <row r="25" spans="1:20" x14ac:dyDescent="0.25">
      <c r="A25" s="12">
        <v>21</v>
      </c>
      <c r="B25" s="10" t="s">
        <v>8</v>
      </c>
      <c r="C25" s="10" t="s">
        <v>55</v>
      </c>
      <c r="D25" s="10" t="s">
        <v>39</v>
      </c>
      <c r="E25" s="11">
        <v>230.5</v>
      </c>
      <c r="F25" s="20">
        <v>0.5421585312726607</v>
      </c>
      <c r="G25" s="13">
        <v>-1.14885078933395</v>
      </c>
      <c r="H25" s="13">
        <v>2.367995217071406</v>
      </c>
      <c r="I25" s="13">
        <v>2.42193339916702</v>
      </c>
      <c r="J25" s="13">
        <v>0.6246229780312107</v>
      </c>
      <c r="K25" s="13">
        <v>-0.2946995315456368</v>
      </c>
      <c r="L25" s="13">
        <v>-0.1526667892008814</v>
      </c>
      <c r="M25" s="13">
        <v>-0.1872980445898669</v>
      </c>
      <c r="N25" s="13">
        <v>29.576487</v>
      </c>
      <c r="O25" s="13">
        <v>24.670464</v>
      </c>
      <c r="P25" s="15">
        <v>1.17211</v>
      </c>
      <c r="Q25" s="15">
        <v>1.059</v>
      </c>
      <c r="R25" s="15">
        <v>0.256195240693345</v>
      </c>
      <c r="S25" s="12">
        <v>54.55465622969638</v>
      </c>
      <c r="T25" s="10" t="s">
        <v>128</v>
      </c>
    </row>
    <row r="26" spans="1:20" x14ac:dyDescent="0.25">
      <c r="A26" s="12">
        <v>22</v>
      </c>
      <c r="B26" s="10" t="s">
        <v>7</v>
      </c>
      <c r="C26" s="10" t="s">
        <v>54</v>
      </c>
      <c r="D26" s="10" t="s">
        <v>47</v>
      </c>
      <c r="E26" s="11">
        <v>45.72000122070312</v>
      </c>
      <c r="F26" s="20">
        <v>0.5047906651418537</v>
      </c>
      <c r="G26" s="13">
        <v>1.022935901394866</v>
      </c>
      <c r="H26" s="13">
        <v>0.5606109515337218</v>
      </c>
      <c r="I26" s="13">
        <v>-0.2905175108276593</v>
      </c>
      <c r="J26" s="13">
        <v>1.392694472669962</v>
      </c>
      <c r="K26" s="13">
        <v>-0.5772664253287171</v>
      </c>
      <c r="L26" s="13">
        <v>-0.5119163774772003</v>
      </c>
      <c r="M26" s="13">
        <v>-0.7225648298095313</v>
      </c>
      <c r="N26" s="13">
        <v>9.21519</v>
      </c>
      <c r="O26" s="13">
        <v>2.1816003</v>
      </c>
      <c r="P26" s="15">
        <v>0.26659</v>
      </c>
      <c r="Q26" s="15">
        <v>0.092</v>
      </c>
      <c r="R26" s="15">
        <v>0.1893756256882073</v>
      </c>
      <c r="S26" s="12">
        <v>61.07061192205893</v>
      </c>
      <c r="T26" s="10" t="s">
        <v>128</v>
      </c>
    </row>
    <row r="27" spans="1:20" x14ac:dyDescent="0.25">
      <c r="A27" s="12">
        <v>23</v>
      </c>
      <c r="B27" s="10" t="s">
        <v>13</v>
      </c>
      <c r="C27" s="10" t="s">
        <v>65</v>
      </c>
      <c r="D27" s="10" t="s">
        <v>58</v>
      </c>
      <c r="E27" s="11">
        <v>231.1000061035156</v>
      </c>
      <c r="F27" s="20">
        <v>0.4639787525580581</v>
      </c>
      <c r="G27" s="13">
        <v>1.22714929116337</v>
      </c>
      <c r="H27" s="13">
        <v>0.1684316074967951</v>
      </c>
      <c r="I27" s="13">
        <v>-0.05114060494765273</v>
      </c>
      <c r="J27" s="13">
        <v>-0.2108098818284226</v>
      </c>
      <c r="K27" s="13">
        <v>2.002596748589814</v>
      </c>
      <c r="L27" s="13">
        <v>0.4358479295533649</v>
      </c>
      <c r="M27" s="13">
        <v>0.225467029855959</v>
      </c>
      <c r="N27" s="13">
        <v>4.4801764</v>
      </c>
      <c r="O27" s="13">
        <v>1.7929178</v>
      </c>
      <c r="P27" s="15">
        <v>0.46113998</v>
      </c>
      <c r="Q27" s="15">
        <v>0.118</v>
      </c>
      <c r="R27" s="15">
        <v>0.08747118756420025</v>
      </c>
      <c r="S27" s="12">
        <v>42.1236652002238</v>
      </c>
      <c r="T27" s="10" t="s">
        <v>128</v>
      </c>
    </row>
    <row r="28" spans="1:20" x14ac:dyDescent="0.25">
      <c r="A28" s="12">
        <v>24</v>
      </c>
      <c r="B28" s="10" t="s">
        <v>142</v>
      </c>
      <c r="C28" s="10" t="s">
        <v>143</v>
      </c>
      <c r="D28" s="10" t="s">
        <v>47</v>
      </c>
      <c r="E28" s="11">
        <v>211.4799957275391</v>
      </c>
      <c r="F28" s="20">
        <v>0.4638644283027667</v>
      </c>
      <c r="G28" s="13">
        <v>0.4665617585959619</v>
      </c>
      <c r="H28" s="13">
        <v>-0.3277583774658664</v>
      </c>
      <c r="I28" s="13">
        <v>2.32574166424169</v>
      </c>
      <c r="J28" s="13">
        <v>0.7742733470841192</v>
      </c>
      <c r="K28" s="13">
        <v>-0.1476550120624028</v>
      </c>
      <c r="L28" s="13">
        <v>0.7779018217059723</v>
      </c>
      <c r="M28" s="13">
        <v>-0.7685878281780325</v>
      </c>
      <c r="N28" s="13">
        <v>19.874039</v>
      </c>
      <c r="O28" s="13">
        <v>2.1352272</v>
      </c>
      <c r="P28" s="15">
        <v>0.12231</v>
      </c>
      <c r="Q28" s="15">
        <v>0.535</v>
      </c>
      <c r="R28" s="15">
        <v>0.1309072224708232</v>
      </c>
      <c r="S28" s="12">
        <v>59.12198056983122</v>
      </c>
      <c r="T28" s="10" t="s">
        <v>128</v>
      </c>
    </row>
    <row r="29" spans="1:20" x14ac:dyDescent="0.25">
      <c r="A29" s="12">
        <v>25</v>
      </c>
      <c r="B29" s="10" t="s">
        <v>144</v>
      </c>
      <c r="C29" s="10" t="s">
        <v>145</v>
      </c>
      <c r="D29" s="10" t="s">
        <v>58</v>
      </c>
      <c r="E29" s="11">
        <v>196.5099945068359</v>
      </c>
      <c r="F29" s="20">
        <v>0.4462074139990458</v>
      </c>
      <c r="G29" s="13">
        <v>0.5925785231780542</v>
      </c>
      <c r="H29" s="13">
        <v>-0.6549127127071878</v>
      </c>
      <c r="I29" s="13">
        <v>4.091481883216078</v>
      </c>
      <c r="J29" s="13">
        <v>-0.4086412004168099</v>
      </c>
      <c r="K29" s="13">
        <v>0.6726119902787721</v>
      </c>
      <c r="L29" s="13">
        <v>0.7486189592426963</v>
      </c>
      <c r="M29" s="13">
        <v>0.4017863659445858</v>
      </c>
      <c r="N29" s="13">
        <v>10.7283745</v>
      </c>
      <c r="O29" s="13">
        <v>1.1600213</v>
      </c>
      <c r="P29" s="15">
        <v>0.09031</v>
      </c>
      <c r="Q29" s="15">
        <v>11.11</v>
      </c>
      <c r="R29" s="15">
        <v>0.01705152424513101</v>
      </c>
      <c r="S29" s="12">
        <v>39.21064532304133</v>
      </c>
      <c r="T29" s="10" t="s">
        <v>128</v>
      </c>
    </row>
    <row r="30" spans="1:20" x14ac:dyDescent="0.25">
      <c r="A30" s="12">
        <v>26</v>
      </c>
      <c r="B30" s="10" t="s">
        <v>17</v>
      </c>
      <c r="C30" s="10" t="s">
        <v>72</v>
      </c>
      <c r="D30" s="10" t="s">
        <v>62</v>
      </c>
      <c r="E30" s="11">
        <v>261.7749938964844</v>
      </c>
      <c r="F30" s="20">
        <v>0.4397782834834033</v>
      </c>
      <c r="G30" s="13">
        <v>-0.7324636747785005</v>
      </c>
      <c r="H30" s="13">
        <v>0.4425436300243135</v>
      </c>
      <c r="I30" s="13">
        <v>-0.4598095680642147</v>
      </c>
      <c r="J30" s="13">
        <v>2.37825060402861</v>
      </c>
      <c r="K30" s="13">
        <v>-0.2584870752549896</v>
      </c>
      <c r="L30" s="13">
        <v>-1.143856153226578</v>
      </c>
      <c r="M30" s="13">
        <v>-0.837870525479061</v>
      </c>
      <c r="N30" s="13">
        <v>49.463768</v>
      </c>
      <c r="O30" s="13">
        <v>14.527268</v>
      </c>
      <c r="P30" s="15">
        <v>0.32339</v>
      </c>
      <c r="Q30" s="15">
        <v>0.094</v>
      </c>
      <c r="R30" s="15">
        <v>1.116721903228899</v>
      </c>
      <c r="S30" s="12">
        <v>56.15996545988147</v>
      </c>
      <c r="T30" s="10" t="s">
        <v>128</v>
      </c>
    </row>
    <row r="31" spans="1:20" x14ac:dyDescent="0.25">
      <c r="A31" s="12">
        <v>27</v>
      </c>
      <c r="B31" s="10" t="s">
        <v>146</v>
      </c>
      <c r="C31" s="10" t="s">
        <v>147</v>
      </c>
      <c r="D31" s="10" t="s">
        <v>47</v>
      </c>
      <c r="E31" s="11">
        <v>148.3300018310547</v>
      </c>
      <c r="F31" s="20">
        <v>0.409767684196624</v>
      </c>
      <c r="G31" s="13">
        <v>0.5519570047327462</v>
      </c>
      <c r="H31" s="13">
        <v>0.465543360623327</v>
      </c>
      <c r="I31" s="13">
        <v>1.424012467219417</v>
      </c>
      <c r="J31" s="13">
        <v>0.5763687522998078</v>
      </c>
      <c r="K31" s="13">
        <v>-0.5174610050911331</v>
      </c>
      <c r="L31" s="13">
        <v>0.1433041746113113</v>
      </c>
      <c r="M31" s="13">
        <v>-0.3235789579078677</v>
      </c>
      <c r="N31" s="13">
        <v>11.002335</v>
      </c>
      <c r="O31" s="13">
        <v>2.3316183</v>
      </c>
      <c r="P31" s="15">
        <v>0.22507</v>
      </c>
      <c r="Q31" s="15">
        <v>0.587</v>
      </c>
      <c r="R31" s="15">
        <v>0.1025848765169544</v>
      </c>
      <c r="S31" s="12">
        <v>59.37033576424934</v>
      </c>
      <c r="T31" s="10" t="s">
        <v>128</v>
      </c>
    </row>
    <row r="32" spans="1:20" x14ac:dyDescent="0.25">
      <c r="A32" s="12">
        <v>28</v>
      </c>
      <c r="B32" s="10" t="s">
        <v>148</v>
      </c>
      <c r="C32" s="10" t="s">
        <v>149</v>
      </c>
      <c r="D32" s="10" t="s">
        <v>150</v>
      </c>
      <c r="E32" s="11">
        <v>30.95</v>
      </c>
      <c r="F32" s="20">
        <v>0.4064536841008188</v>
      </c>
      <c r="G32" s="13">
        <v>-0.04195459747446569</v>
      </c>
      <c r="H32" s="13">
        <v>-0.9999951229141718</v>
      </c>
      <c r="I32" s="13">
        <v>-1.209667697995005</v>
      </c>
      <c r="J32" s="13">
        <v>0.8987137592412817</v>
      </c>
      <c r="K32" s="13">
        <v>4.053505670818017</v>
      </c>
      <c r="L32" s="13">
        <v>0.4995913201646023</v>
      </c>
      <c r="M32" s="13">
        <v>-1.137984829605401</v>
      </c>
      <c r="N32" s="13">
        <v>497.26776</v>
      </c>
      <c r="O32" s="13">
        <v>2.3630948</v>
      </c>
      <c r="P32" s="15">
        <v>-0.08785999999999999</v>
      </c>
      <c r="Q32" s="15">
        <v>-0.112</v>
      </c>
      <c r="R32" s="15">
        <v>0.1308001461454147</v>
      </c>
      <c r="S32" s="12">
        <v>75.22299401348948</v>
      </c>
      <c r="T32" s="10" t="s">
        <v>128</v>
      </c>
    </row>
    <row r="33" spans="1:20" x14ac:dyDescent="0.25">
      <c r="A33" s="12">
        <v>29</v>
      </c>
      <c r="B33" s="10" t="s">
        <v>151</v>
      </c>
      <c r="C33" s="10" t="s">
        <v>152</v>
      </c>
      <c r="D33" s="10" t="s">
        <v>39</v>
      </c>
      <c r="E33" s="11">
        <v>375.0625</v>
      </c>
      <c r="F33" s="20">
        <v>0.4034064539856614</v>
      </c>
      <c r="G33" s="13">
        <v>-0.6593896211068547</v>
      </c>
      <c r="H33" s="13">
        <v>0.2797819680903868</v>
      </c>
      <c r="I33" s="13">
        <v>0.8358553199308463</v>
      </c>
      <c r="J33" s="13">
        <v>1.17427516594485</v>
      </c>
      <c r="K33" s="13">
        <v>0.6671252544771589</v>
      </c>
      <c r="L33" s="13">
        <v>-0.3015885152806337</v>
      </c>
      <c r="M33" s="13">
        <v>-0.2562041313315935</v>
      </c>
      <c r="N33" s="13">
        <v>52.048717</v>
      </c>
      <c r="O33" s="13">
        <v>9.968641</v>
      </c>
      <c r="P33" s="15">
        <v>0.20897</v>
      </c>
      <c r="Q33" s="15">
        <v>0.365</v>
      </c>
      <c r="R33" s="15">
        <v>0.1613999416750818</v>
      </c>
      <c r="S33" s="12">
        <v>63.33302107836657</v>
      </c>
      <c r="T33" s="10" t="s">
        <v>128</v>
      </c>
    </row>
    <row r="34" spans="1:20" x14ac:dyDescent="0.25">
      <c r="A34" s="12">
        <v>30</v>
      </c>
      <c r="B34" s="10" t="s">
        <v>153</v>
      </c>
      <c r="C34" s="10" t="s">
        <v>154</v>
      </c>
      <c r="D34" s="10" t="s">
        <v>70</v>
      </c>
      <c r="E34" s="11">
        <v>92.26999664306641</v>
      </c>
      <c r="F34" s="20">
        <v>0.3969181344711442</v>
      </c>
      <c r="G34" s="13">
        <v>0.1201293344453046</v>
      </c>
      <c r="H34" s="13">
        <v>1.649629327208398</v>
      </c>
      <c r="I34" s="13">
        <v>0.0292607103332167</v>
      </c>
      <c r="J34" s="13">
        <v>0.292779780902158</v>
      </c>
      <c r="K34" s="13">
        <v>0.06961972568148038</v>
      </c>
      <c r="L34" s="13">
        <v>0.2752149919100464</v>
      </c>
      <c r="M34" s="13">
        <v>-0.053413874783799</v>
      </c>
      <c r="N34" s="13">
        <v>16.017889</v>
      </c>
      <c r="O34" s="13">
        <v>17.936699</v>
      </c>
      <c r="P34" s="15">
        <v>1.5956</v>
      </c>
      <c r="Q34" s="15">
        <v>0.162</v>
      </c>
      <c r="R34" s="15">
        <v>0.007132026006196224</v>
      </c>
      <c r="S34" s="12">
        <v>57.43324950129764</v>
      </c>
      <c r="T34" s="10" t="s">
        <v>128</v>
      </c>
    </row>
    <row r="35" spans="1:20" x14ac:dyDescent="0.25">
      <c r="A35" s="12">
        <v>31</v>
      </c>
      <c r="B35" s="10" t="s">
        <v>155</v>
      </c>
      <c r="C35" s="10" t="s">
        <v>156</v>
      </c>
      <c r="D35" s="10" t="s">
        <v>58</v>
      </c>
      <c r="E35" s="11">
        <v>880.0399780273438</v>
      </c>
      <c r="F35" s="20">
        <v>0.3960176791560469</v>
      </c>
      <c r="G35" s="13">
        <v>0.4259345004319178</v>
      </c>
      <c r="H35" s="13">
        <v>0.821956331355851</v>
      </c>
      <c r="I35" s="13">
        <v>0.9122660713367897</v>
      </c>
      <c r="J35" s="13">
        <v>-0.6188918863425265</v>
      </c>
      <c r="K35" s="13">
        <v>1.796295482449158</v>
      </c>
      <c r="L35" s="13">
        <v>0.3390873191437165</v>
      </c>
      <c r="M35" s="13">
        <v>0.5797089723490312</v>
      </c>
      <c r="N35" s="13">
        <v>13.928394</v>
      </c>
      <c r="O35" s="13">
        <v>2.492922</v>
      </c>
      <c r="P35" s="15">
        <v>0.16902</v>
      </c>
      <c r="Q35" s="15">
        <v>0.425</v>
      </c>
      <c r="R35" s="15">
        <v>-0.01712076266969298</v>
      </c>
      <c r="S35" s="12">
        <v>28.72352340188237</v>
      </c>
      <c r="T35" s="10" t="s">
        <v>128</v>
      </c>
    </row>
    <row r="36" spans="1:20" x14ac:dyDescent="0.25">
      <c r="A36" s="12">
        <v>32</v>
      </c>
      <c r="B36" s="10" t="s">
        <v>15</v>
      </c>
      <c r="C36" s="10" t="s">
        <v>68</v>
      </c>
      <c r="D36" s="10" t="s">
        <v>62</v>
      </c>
      <c r="E36" s="11">
        <v>113.2600021362305</v>
      </c>
      <c r="F36" s="20">
        <v>0.3949002642296038</v>
      </c>
      <c r="G36" s="13">
        <v>0.3552290711584428</v>
      </c>
      <c r="H36" s="13">
        <v>0.5065218152404674</v>
      </c>
      <c r="I36" s="13">
        <v>0.5184131913684406</v>
      </c>
      <c r="J36" s="13">
        <v>0.02555694705479609</v>
      </c>
      <c r="K36" s="13">
        <v>1.778737927883995</v>
      </c>
      <c r="L36" s="13">
        <v>0.2115183102491379</v>
      </c>
      <c r="M36" s="13">
        <v>-0.4466564028962663</v>
      </c>
      <c r="N36" s="13">
        <v>14.687899</v>
      </c>
      <c r="O36" s="13">
        <v>3.652433</v>
      </c>
      <c r="P36" s="15">
        <v>0.30667</v>
      </c>
      <c r="Q36" s="15">
        <v>0.377</v>
      </c>
      <c r="R36" s="15">
        <v>0.1681105941178596</v>
      </c>
      <c r="S36" s="12">
        <v>31.99446289313337</v>
      </c>
      <c r="T36" s="10" t="s">
        <v>128</v>
      </c>
    </row>
    <row r="37" spans="1:20" x14ac:dyDescent="0.25">
      <c r="A37" s="12">
        <v>33</v>
      </c>
      <c r="B37" s="10" t="s">
        <v>157</v>
      </c>
      <c r="C37" s="10" t="s">
        <v>158</v>
      </c>
      <c r="D37" s="10" t="s">
        <v>39</v>
      </c>
      <c r="E37" s="11">
        <v>395.3250122070312</v>
      </c>
      <c r="F37" s="20">
        <v>0.3929121734456331</v>
      </c>
      <c r="G37" s="13">
        <v>-1.391940526482032</v>
      </c>
      <c r="H37" s="13">
        <v>0.5647588783596147</v>
      </c>
      <c r="I37" s="13">
        <v>3.683586308362309</v>
      </c>
      <c r="J37" s="13">
        <v>0.9390385072663382</v>
      </c>
      <c r="K37" s="13">
        <v>0.4800275636421485</v>
      </c>
      <c r="L37" s="13">
        <v>-2.782745128137709</v>
      </c>
      <c r="M37" s="13">
        <v>0.1548908088741609</v>
      </c>
      <c r="N37" s="13">
        <v>61.766163</v>
      </c>
      <c r="O37" s="13">
        <v>22.35921</v>
      </c>
      <c r="P37" s="15">
        <v>0.36465</v>
      </c>
      <c r="Q37" s="15">
        <v>1.039</v>
      </c>
      <c r="R37" s="15">
        <v>0.08625862930937189</v>
      </c>
      <c r="S37" s="12">
        <v>50.44219261882302</v>
      </c>
      <c r="T37" s="10" t="s">
        <v>128</v>
      </c>
    </row>
    <row r="38" spans="1:20" x14ac:dyDescent="0.25">
      <c r="A38" s="12">
        <v>34</v>
      </c>
      <c r="B38" s="10" t="s">
        <v>159</v>
      </c>
      <c r="C38" s="10" t="s">
        <v>160</v>
      </c>
      <c r="D38" s="10" t="s">
        <v>62</v>
      </c>
      <c r="E38" s="11">
        <v>59.51499938964844</v>
      </c>
      <c r="F38" s="20">
        <v>0.385687986274687</v>
      </c>
      <c r="G38" s="13">
        <v>0.4714651609000165</v>
      </c>
      <c r="H38" s="13">
        <v>0.6579703205670184</v>
      </c>
      <c r="I38" s="13">
        <v>0.2370544747896051</v>
      </c>
      <c r="J38" s="13">
        <v>0.05976132889074035</v>
      </c>
      <c r="K38" s="13">
        <v>0.8893380544424937</v>
      </c>
      <c r="L38" s="13">
        <v>0.7628095803699949</v>
      </c>
      <c r="M38" s="13">
        <v>0.01782523150599347</v>
      </c>
      <c r="N38" s="13">
        <v>13.469164</v>
      </c>
      <c r="O38" s="13">
        <v>5.5972543</v>
      </c>
      <c r="P38" s="15">
        <v>0.46598998</v>
      </c>
      <c r="Q38" s="15">
        <v>0.057</v>
      </c>
      <c r="R38" s="15">
        <v>0.02253502959954301</v>
      </c>
      <c r="S38" s="12">
        <v>37.2443375265683</v>
      </c>
      <c r="T38" s="10" t="s">
        <v>128</v>
      </c>
    </row>
    <row r="39" spans="1:20" x14ac:dyDescent="0.25">
      <c r="A39" s="12">
        <v>35</v>
      </c>
      <c r="B39" s="10" t="s">
        <v>161</v>
      </c>
      <c r="C39" s="10" t="s">
        <v>162</v>
      </c>
      <c r="D39" s="10" t="s">
        <v>70</v>
      </c>
      <c r="E39" s="11">
        <v>240.6699981689453</v>
      </c>
      <c r="F39" s="20">
        <v>0.3811234192682533</v>
      </c>
      <c r="G39" s="13">
        <v>-0.03177896967545183</v>
      </c>
      <c r="H39" s="13">
        <v>0.2705322751456885</v>
      </c>
      <c r="I39" s="13">
        <v>-0.2798112141847907</v>
      </c>
      <c r="J39" s="13">
        <v>0.5904353559896601</v>
      </c>
      <c r="K39" s="13">
        <v>1.445144391145912</v>
      </c>
      <c r="L39" s="13">
        <v>0.45730489610186</v>
      </c>
      <c r="M39" s="13">
        <v>-0.08058295369394486</v>
      </c>
      <c r="N39" s="13">
        <v>23.80123</v>
      </c>
      <c r="O39" s="13">
        <v>14.628464</v>
      </c>
      <c r="P39" s="15">
        <v>0.54960996</v>
      </c>
      <c r="Q39" s="15">
        <v>0.067</v>
      </c>
      <c r="R39" s="15">
        <v>0.2672401776034905</v>
      </c>
      <c r="S39" s="12">
        <v>61.08125959019548</v>
      </c>
      <c r="T39" s="10" t="s">
        <v>128</v>
      </c>
    </row>
    <row r="40" spans="1:20" x14ac:dyDescent="0.25">
      <c r="A40" s="12">
        <v>36</v>
      </c>
      <c r="B40" s="10" t="s">
        <v>163</v>
      </c>
      <c r="C40" s="10" t="s">
        <v>164</v>
      </c>
      <c r="D40" s="10" t="s">
        <v>39</v>
      </c>
      <c r="E40" s="11">
        <v>193.6799926757812</v>
      </c>
      <c r="F40" s="20">
        <v>0.3771214450008533</v>
      </c>
      <c r="G40" s="13">
        <v>0.332252133810496</v>
      </c>
      <c r="H40" s="13">
        <v>1.325925582802339</v>
      </c>
      <c r="I40" s="13">
        <v>-0.9006491143990446</v>
      </c>
      <c r="J40" s="13">
        <v>1.401258770279991</v>
      </c>
      <c r="K40" s="13">
        <v>-0.578912446069201</v>
      </c>
      <c r="L40" s="13">
        <v>-2.992110817092736</v>
      </c>
      <c r="M40" s="13">
        <v>0.2981423822045641</v>
      </c>
      <c r="N40" s="13">
        <v>13.969932</v>
      </c>
      <c r="O40" s="13">
        <v>4.595871</v>
      </c>
      <c r="P40" s="15">
        <v>0.35053003</v>
      </c>
      <c r="Q40" s="15">
        <v>-0.068</v>
      </c>
      <c r="R40" s="15">
        <v>0.3914791959092985</v>
      </c>
      <c r="S40" s="12">
        <v>80.82399880885332</v>
      </c>
      <c r="T40" s="10" t="s">
        <v>128</v>
      </c>
    </row>
    <row r="41" spans="1:20" x14ac:dyDescent="0.25">
      <c r="A41" s="12">
        <v>37</v>
      </c>
      <c r="B41" s="10" t="s">
        <v>165</v>
      </c>
      <c r="C41" s="10" t="s">
        <v>166</v>
      </c>
      <c r="D41" s="10" t="s">
        <v>62</v>
      </c>
      <c r="E41" s="11">
        <v>1153.859985351562</v>
      </c>
      <c r="F41" s="20">
        <v>0.3642438305781039</v>
      </c>
      <c r="G41" s="13">
        <v>-1.034305093517767</v>
      </c>
      <c r="H41" s="13">
        <v>1.799298489421478</v>
      </c>
      <c r="I41" s="13">
        <v>0.7264515483695176</v>
      </c>
      <c r="J41" s="13">
        <v>0.2212321200888481</v>
      </c>
      <c r="K41" s="13">
        <v>0.8635503961749117</v>
      </c>
      <c r="L41" s="13">
        <v>0.3361093917690012</v>
      </c>
      <c r="M41" s="13">
        <v>-0.003455160085877609</v>
      </c>
      <c r="N41" s="13">
        <v>38.3121</v>
      </c>
      <c r="O41" s="13">
        <v>30.073418</v>
      </c>
      <c r="P41" s="15">
        <v>1.02286</v>
      </c>
      <c r="Q41" s="15">
        <v>0.477</v>
      </c>
      <c r="R41" s="15">
        <v>0.2118034812030114</v>
      </c>
      <c r="S41" s="12">
        <v>47.46940808987857</v>
      </c>
      <c r="T41" s="10" t="s">
        <v>128</v>
      </c>
    </row>
    <row r="42" spans="1:20" x14ac:dyDescent="0.25">
      <c r="A42" s="12">
        <v>38</v>
      </c>
      <c r="B42" s="10" t="s">
        <v>167</v>
      </c>
      <c r="C42" s="10" t="s">
        <v>168</v>
      </c>
      <c r="D42" s="10" t="s">
        <v>47</v>
      </c>
      <c r="E42" s="11">
        <v>134.3099975585938</v>
      </c>
      <c r="F42" s="20">
        <v>0.352463045555982</v>
      </c>
      <c r="G42" s="13">
        <v>0.4724324774271865</v>
      </c>
      <c r="H42" s="13">
        <v>-0.1379046355837053</v>
      </c>
      <c r="I42" s="13">
        <v>0.7991585696769221</v>
      </c>
      <c r="J42" s="13">
        <v>0.8051835875752253</v>
      </c>
      <c r="K42" s="13">
        <v>-0.0521858091143329</v>
      </c>
      <c r="L42" s="13">
        <v>0.3477325025547811</v>
      </c>
      <c r="M42" s="13">
        <v>-0.5822830623418187</v>
      </c>
      <c r="N42" s="13">
        <v>16.788078</v>
      </c>
      <c r="O42" s="13">
        <v>2.3300917</v>
      </c>
      <c r="P42" s="15">
        <v>0.1418</v>
      </c>
      <c r="Q42" s="15">
        <v>0.355</v>
      </c>
      <c r="R42" s="15">
        <v>0.1031880524704087</v>
      </c>
      <c r="S42" s="12">
        <v>60.24825520026894</v>
      </c>
      <c r="T42" s="10" t="s">
        <v>128</v>
      </c>
    </row>
    <row r="43" spans="1:20" x14ac:dyDescent="0.25">
      <c r="A43" s="12">
        <v>39</v>
      </c>
      <c r="B43" s="10" t="s">
        <v>169</v>
      </c>
      <c r="C43" s="10" t="s">
        <v>170</v>
      </c>
      <c r="D43" s="10" t="s">
        <v>39</v>
      </c>
      <c r="E43" s="11">
        <v>463.7900085449219</v>
      </c>
      <c r="F43" s="20">
        <v>0.3520140973763233</v>
      </c>
      <c r="G43" s="13">
        <v>-0.2822274966466811</v>
      </c>
      <c r="H43" s="13">
        <v>0.6042682609127178</v>
      </c>
      <c r="I43" s="13">
        <v>-0.3184536913372166</v>
      </c>
      <c r="J43" s="13">
        <v>1.173032544483859</v>
      </c>
      <c r="K43" s="13">
        <v>0.3686468268694003</v>
      </c>
      <c r="L43" s="13">
        <v>-0.07070178422311099</v>
      </c>
      <c r="M43" s="13">
        <v>-0.6740972669460797</v>
      </c>
      <c r="N43" s="13">
        <v>36.207336</v>
      </c>
      <c r="O43" s="13">
        <v>6.691722</v>
      </c>
      <c r="P43" s="15">
        <v>0.1983</v>
      </c>
      <c r="Q43" s="15">
        <v>0.109</v>
      </c>
      <c r="R43" s="15">
        <v>0.5743576303010682</v>
      </c>
      <c r="S43" s="12">
        <v>65.32212392327753</v>
      </c>
      <c r="T43" s="10" t="s">
        <v>128</v>
      </c>
    </row>
    <row r="44" spans="1:20" x14ac:dyDescent="0.25">
      <c r="A44" s="12">
        <v>40</v>
      </c>
      <c r="B44" s="10" t="s">
        <v>171</v>
      </c>
      <c r="C44" s="10" t="s">
        <v>172</v>
      </c>
      <c r="D44" s="10" t="s">
        <v>58</v>
      </c>
      <c r="E44" s="11">
        <v>400.2699890136719</v>
      </c>
      <c r="F44" s="20">
        <v>0.3427661902514897</v>
      </c>
      <c r="G44" s="13">
        <v>0.2852659683235538</v>
      </c>
      <c r="H44" s="13">
        <v>0.7045165989935405</v>
      </c>
      <c r="I44" s="13">
        <v>-0.1283007250327522</v>
      </c>
      <c r="J44" s="13">
        <v>0.6195075423350427</v>
      </c>
      <c r="K44" s="13">
        <v>-0.2870181014233783</v>
      </c>
      <c r="L44" s="13">
        <v>0.8346986050625392</v>
      </c>
      <c r="M44" s="13">
        <v>-0.1245784276987621</v>
      </c>
      <c r="N44" s="13">
        <v>23.98784</v>
      </c>
      <c r="O44" s="13">
        <v>7.3145866</v>
      </c>
      <c r="P44" s="15">
        <v>0.29215</v>
      </c>
      <c r="Q44" s="15">
        <v>0.215</v>
      </c>
      <c r="R44" s="15">
        <v>0.3056397542188756</v>
      </c>
      <c r="S44" s="12">
        <v>50.36249298955109</v>
      </c>
      <c r="T44" s="10" t="s">
        <v>128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173</v>
      </c>
    </row>
    <row r="2" spans="1:3" x14ac:dyDescent="0.25">
      <c r="A2" s="2" t="s">
        <v>174</v>
      </c>
    </row>
    <row r="4" spans="1:3" x14ac:dyDescent="0.25">
      <c r="A4" s="9" t="s">
        <v>175</v>
      </c>
    </row>
    <row r="5" spans="1:3" ht="30" customHeight="1" x14ac:dyDescent="0.25">
      <c r="A5" s="18" t="s">
        <v>176</v>
      </c>
      <c r="B5" s="18" t="s">
        <v>177</v>
      </c>
      <c r="C5" s="18" t="s">
        <v>178</v>
      </c>
    </row>
    <row r="6" spans="1:3" x14ac:dyDescent="0.25">
      <c r="A6" s="10" t="s">
        <v>179</v>
      </c>
      <c r="B6" s="15">
        <v>0.18</v>
      </c>
      <c r="C6" s="10" t="s">
        <v>180</v>
      </c>
    </row>
    <row r="7" spans="1:3" x14ac:dyDescent="0.25">
      <c r="A7" s="10" t="s">
        <v>181</v>
      </c>
      <c r="B7" s="15">
        <v>0.16</v>
      </c>
      <c r="C7" s="10" t="s">
        <v>182</v>
      </c>
    </row>
    <row r="8" spans="1:3" x14ac:dyDescent="0.25">
      <c r="A8" s="10" t="s">
        <v>183</v>
      </c>
      <c r="B8" s="15">
        <v>0.1</v>
      </c>
      <c r="C8" s="10" t="s">
        <v>184</v>
      </c>
    </row>
    <row r="9" spans="1:3" x14ac:dyDescent="0.25">
      <c r="A9" s="10" t="s">
        <v>185</v>
      </c>
      <c r="B9" s="15">
        <v>0.3</v>
      </c>
      <c r="C9" s="10" t="s">
        <v>186</v>
      </c>
    </row>
    <row r="10" spans="1:3" x14ac:dyDescent="0.25">
      <c r="A10" s="10" t="s">
        <v>187</v>
      </c>
      <c r="B10" s="15">
        <v>0.12</v>
      </c>
      <c r="C10" s="10" t="s">
        <v>188</v>
      </c>
    </row>
    <row r="11" spans="1:3" x14ac:dyDescent="0.25">
      <c r="A11" s="10" t="s">
        <v>189</v>
      </c>
      <c r="B11" s="15">
        <v>0.06</v>
      </c>
      <c r="C11" s="10" t="s">
        <v>190</v>
      </c>
    </row>
    <row r="12" spans="1:3" x14ac:dyDescent="0.25">
      <c r="A12" s="10" t="s">
        <v>191</v>
      </c>
      <c r="B12" s="15">
        <v>0.08</v>
      </c>
      <c r="C12" s="10" t="s">
        <v>192</v>
      </c>
    </row>
    <row r="13" spans="1:3" x14ac:dyDescent="0.25">
      <c r="A13" s="16" t="s">
        <v>193</v>
      </c>
      <c r="B13" s="15">
        <f>SUM(B6:B12)</f>
        <v>0.9999999999999999</v>
      </c>
    </row>
    <row r="15" spans="1:3" x14ac:dyDescent="0.25">
      <c r="A15" s="9" t="s">
        <v>194</v>
      </c>
    </row>
    <row r="16" spans="1:3" x14ac:dyDescent="0.25">
      <c r="A16" s="17" t="s">
        <v>195</v>
      </c>
    </row>
    <row r="18" spans="1:7" x14ac:dyDescent="0.25">
      <c r="A18" s="9" t="s">
        <v>196</v>
      </c>
    </row>
    <row r="19" spans="1:7" x14ac:dyDescent="0.25">
      <c r="A19" s="17" t="s">
        <v>197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223</v>
      </c>
    </row>
    <row r="3" spans="1:2">
      <c r="A3" s="9" t="s">
        <v>224</v>
      </c>
    </row>
    <row r="4" spans="1:2">
      <c r="A4" s="10" t="s">
        <v>225</v>
      </c>
      <c r="B4" s="10" t="s">
        <v>226</v>
      </c>
    </row>
    <row r="5" spans="1:2">
      <c r="A5" s="10" t="s">
        <v>227</v>
      </c>
      <c r="B5" s="10" t="s">
        <v>89</v>
      </c>
    </row>
    <row r="6" spans="1:2">
      <c r="A6" s="10" t="s">
        <v>228</v>
      </c>
      <c r="B6" s="10" t="s">
        <v>229</v>
      </c>
    </row>
    <row r="7" spans="1:2">
      <c r="A7" s="10" t="s">
        <v>230</v>
      </c>
      <c r="B7" s="10" t="s">
        <v>231</v>
      </c>
    </row>
    <row r="8" spans="1:2">
      <c r="A8" s="10" t="s">
        <v>232</v>
      </c>
      <c r="B8" s="10" t="s">
        <v>144</v>
      </c>
    </row>
    <row r="9" spans="1:2">
      <c r="A9" s="10" t="s">
        <v>233</v>
      </c>
      <c r="B9" s="10" t="s">
        <v>41</v>
      </c>
    </row>
    <row r="10" spans="1:2">
      <c r="A10" s="10" t="s">
        <v>234</v>
      </c>
      <c r="B10" s="10" t="s">
        <v>235</v>
      </c>
    </row>
    <row r="11" spans="1:2">
      <c r="A11" s="10" t="s">
        <v>236</v>
      </c>
      <c r="B11" s="10" t="s">
        <v>237</v>
      </c>
    </row>
    <row r="12" spans="1:2">
      <c r="A12" s="10" t="s">
        <v>238</v>
      </c>
      <c r="B12" s="10" t="s">
        <v>239</v>
      </c>
    </row>
    <row r="13" spans="1:2">
      <c r="A13" s="10" t="s">
        <v>240</v>
      </c>
      <c r="B13" s="10" t="s">
        <v>241</v>
      </c>
    </row>
    <row r="14" spans="1:2">
      <c r="A14" s="10" t="s">
        <v>242</v>
      </c>
      <c r="B14" s="10" t="s">
        <v>243</v>
      </c>
    </row>
    <row r="16" spans="1:2">
      <c r="A16" s="9" t="s">
        <v>244</v>
      </c>
    </row>
    <row r="17" spans="1:2" ht="30" customHeight="1">
      <c r="A17" s="16" t="s">
        <v>245</v>
      </c>
      <c r="B17" s="17" t="s">
        <v>246</v>
      </c>
    </row>
    <row r="18" spans="1:2" ht="30" customHeight="1">
      <c r="A18" s="16" t="s">
        <v>247</v>
      </c>
      <c r="B18" s="17" t="s">
        <v>248</v>
      </c>
    </row>
    <row r="19" spans="1:2" ht="30" customHeight="1">
      <c r="A19" s="16" t="s">
        <v>249</v>
      </c>
      <c r="B19" s="17" t="s">
        <v>250</v>
      </c>
    </row>
    <row r="20" spans="1:2" ht="30" customHeight="1">
      <c r="A20" s="16" t="s">
        <v>251</v>
      </c>
      <c r="B20" s="17" t="s">
        <v>252</v>
      </c>
    </row>
    <row r="22" spans="1:2">
      <c r="A22" s="9" t="s">
        <v>253</v>
      </c>
    </row>
    <row r="23" spans="1:2" ht="32" customHeight="1">
      <c r="A23" s="24" t="s">
        <v>254</v>
      </c>
      <c r="B23" s="24"/>
    </row>
    <row r="24" spans="1:2" ht="32" customHeight="1">
      <c r="A24" s="24" t="s">
        <v>255</v>
      </c>
      <c r="B24" s="24"/>
    </row>
    <row r="25" spans="1:2" ht="32" customHeight="1">
      <c r="A25" s="24" t="s">
        <v>256</v>
      </c>
      <c r="B25" s="24"/>
    </row>
    <row r="26" spans="1:2" ht="32" customHeight="1">
      <c r="A26" s="24" t="s">
        <v>257</v>
      </c>
      <c r="B26" s="24"/>
    </row>
    <row r="27" spans="1:2" ht="32" customHeight="1">
      <c r="A27" s="24" t="s">
        <v>258</v>
      </c>
      <c r="B27" s="24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0"/>
  <sheetViews>
    <sheetView workbookViewId="0"/>
  </sheetViews>
  <sheetFormatPr defaultRowHeight="15"/>
  <sheetData>
    <row r="1" spans="1:61">
      <c r="A1" t="s">
        <v>0</v>
      </c>
      <c r="B1">
        <v>853.2000122070312</v>
      </c>
      <c r="C1">
        <v>848.9500122070312</v>
      </c>
      <c r="D1">
        <v>865.4600219726562</v>
      </c>
      <c r="E1">
        <v>970.8200073242188</v>
      </c>
      <c r="F1">
        <v>959.47998046875</v>
      </c>
      <c r="G1">
        <v>990.2100219726562</v>
      </c>
      <c r="H1">
        <v>920.9500122070312</v>
      </c>
      <c r="I1">
        <v>900.2000122070312</v>
      </c>
      <c r="J1">
        <v>820.530029296875</v>
      </c>
      <c r="K1">
        <v>739</v>
      </c>
      <c r="L1">
        <v>874.6599731445312</v>
      </c>
      <c r="M1">
        <v>823.030029296875</v>
      </c>
      <c r="N1">
        <v>829.5</v>
      </c>
      <c r="O1">
        <v>892.6699829101562</v>
      </c>
      <c r="P1">
        <v>893.1900024414062</v>
      </c>
      <c r="Q1">
        <v>881.469970703125</v>
      </c>
      <c r="R1">
        <v>877.5700073242188</v>
      </c>
      <c r="S1">
        <v>861</v>
      </c>
      <c r="T1">
        <v>868.52001953125</v>
      </c>
      <c r="U1">
        <v>911.2899780273438</v>
      </c>
      <c r="V1">
        <v>949.8300170898438</v>
      </c>
      <c r="W1">
        <v>971.6599731445312</v>
      </c>
      <c r="X1">
        <v>1011.75</v>
      </c>
      <c r="Y1">
        <v>940.760009765625</v>
      </c>
      <c r="Z1">
        <v>937.1099853515625</v>
      </c>
      <c r="AA1">
        <v>974.3300170898438</v>
      </c>
      <c r="AB1">
        <v>966.780029296875</v>
      </c>
      <c r="AC1">
        <v>910.4299926757812</v>
      </c>
      <c r="AD1">
        <v>932.969970703125</v>
      </c>
      <c r="AE1">
        <v>938.4000244140625</v>
      </c>
      <c r="AF1">
        <v>935.3900146484375</v>
      </c>
      <c r="AG1">
        <v>932.8599853515625</v>
      </c>
      <c r="AH1">
        <v>958.72998046875</v>
      </c>
      <c r="AI1">
        <v>933.4400024414062</v>
      </c>
      <c r="AJ1">
        <v>956.0800170898438</v>
      </c>
      <c r="AK1">
        <v>958.1599731445312</v>
      </c>
      <c r="AL1">
        <v>1016.590026855469</v>
      </c>
      <c r="AM1">
        <v>1000.260009765625</v>
      </c>
      <c r="AN1">
        <v>1027.77001953125</v>
      </c>
      <c r="AO1">
        <v>977.4099731445312</v>
      </c>
      <c r="AP1">
        <v>975.260009765625</v>
      </c>
      <c r="AQ1">
        <v>924.030029296875</v>
      </c>
      <c r="AR1">
        <v>927.5999755859375</v>
      </c>
      <c r="AS1">
        <v>926.5499877929688</v>
      </c>
      <c r="AT1">
        <v>977.5</v>
      </c>
      <c r="AU1">
        <v>1015.799987792969</v>
      </c>
      <c r="AV1">
        <v>1043.9599609375</v>
      </c>
      <c r="AW1">
        <v>1096.160034179688</v>
      </c>
      <c r="AX1">
        <v>1071.880004882812</v>
      </c>
      <c r="AY1">
        <v>1080.530029296875</v>
      </c>
      <c r="AZ1">
        <v>1082.280029296875</v>
      </c>
      <c r="BA1">
        <v>1053.97998046875</v>
      </c>
      <c r="BB1">
        <v>1065.079956054688</v>
      </c>
      <c r="BC1">
        <v>1065.109985351562</v>
      </c>
      <c r="BD1">
        <v>1097.390014648438</v>
      </c>
      <c r="BE1">
        <v>1074.890014648438</v>
      </c>
      <c r="BF1">
        <v>1063.9599609375</v>
      </c>
      <c r="BG1">
        <v>1045.56005859375</v>
      </c>
      <c r="BH1">
        <v>1088</v>
      </c>
      <c r="BI1">
        <v>1037.930053710938</v>
      </c>
    </row>
    <row r="2" spans="1:61">
      <c r="A2" t="s">
        <v>1</v>
      </c>
      <c r="B2">
        <v>1411.079956054688</v>
      </c>
      <c r="C2">
        <v>1354.819946289062</v>
      </c>
      <c r="D2">
        <v>1390.949951171875</v>
      </c>
      <c r="E2">
        <v>1589.400024414062</v>
      </c>
      <c r="F2">
        <v>1599.27001953125</v>
      </c>
      <c r="G2">
        <v>1610.329956054688</v>
      </c>
      <c r="H2">
        <v>1436.56005859375</v>
      </c>
      <c r="I2">
        <v>1278.22998046875</v>
      </c>
      <c r="J2">
        <v>1096.099975585938</v>
      </c>
      <c r="K2">
        <v>1015.890014648438</v>
      </c>
      <c r="L2">
        <v>1279.9599609375</v>
      </c>
      <c r="M2">
        <v>1214.829956054688</v>
      </c>
      <c r="N2">
        <v>1288.030029296875</v>
      </c>
      <c r="O2">
        <v>1427.619995117188</v>
      </c>
      <c r="P2">
        <v>1350.5</v>
      </c>
      <c r="Q2">
        <v>1258.579956054688</v>
      </c>
      <c r="R2">
        <v>1212.2099609375</v>
      </c>
      <c r="S2">
        <v>1237.920043945312</v>
      </c>
      <c r="T2">
        <v>1271.050048828125</v>
      </c>
      <c r="U2">
        <v>1344.2900390625</v>
      </c>
      <c r="V2">
        <v>1528.109985351562</v>
      </c>
      <c r="W2">
        <v>1641.109985351562</v>
      </c>
      <c r="X2">
        <v>1786.849975585938</v>
      </c>
      <c r="Y2">
        <v>1625.780029296875</v>
      </c>
      <c r="Z2">
        <v>1568.869995117188</v>
      </c>
      <c r="AA2">
        <v>1600.619995117188</v>
      </c>
      <c r="AB2">
        <v>1596.079956054688</v>
      </c>
      <c r="AC2">
        <v>1493.119995117188</v>
      </c>
      <c r="AD2">
        <v>1480.77001953125</v>
      </c>
      <c r="AE2">
        <v>1499.369995117188</v>
      </c>
      <c r="AF2">
        <v>1484.949951171875</v>
      </c>
      <c r="AG2">
        <v>1484.97998046875</v>
      </c>
      <c r="AH2">
        <v>1566.699951171875</v>
      </c>
      <c r="AI2">
        <v>1536.869995117188</v>
      </c>
      <c r="AJ2">
        <v>1553.400024414062</v>
      </c>
      <c r="AK2">
        <v>1554.989990234375</v>
      </c>
      <c r="AL2">
        <v>1740</v>
      </c>
      <c r="AM2">
        <v>1737.989990234375</v>
      </c>
      <c r="AN2">
        <v>1764.170043945312</v>
      </c>
      <c r="AO2">
        <v>1692.589965820312</v>
      </c>
      <c r="AP2">
        <v>1633.349975585938</v>
      </c>
      <c r="AQ2">
        <v>1551.989990234375</v>
      </c>
      <c r="AR2">
        <v>1530.89501953125</v>
      </c>
      <c r="AS2">
        <v>1519.969970703125</v>
      </c>
      <c r="AT2">
        <v>1614.390014648438</v>
      </c>
      <c r="AU2">
        <v>1791.819946289062</v>
      </c>
      <c r="AV2">
        <v>1766.640014648438</v>
      </c>
      <c r="AW2">
        <v>1887.0400390625</v>
      </c>
      <c r="AX2">
        <v>1816.569946289062</v>
      </c>
      <c r="AY2">
        <v>1753.619995117188</v>
      </c>
      <c r="AZ2">
        <v>1777.800048828125</v>
      </c>
      <c r="BA2">
        <v>1712.890014648438</v>
      </c>
      <c r="BB2">
        <v>1729.760009765625</v>
      </c>
      <c r="BC2">
        <v>1739.890014648438</v>
      </c>
      <c r="BD2">
        <v>1787.68994140625</v>
      </c>
      <c r="BE2">
        <v>1719.989990234375</v>
      </c>
      <c r="BF2">
        <v>1704.160034179688</v>
      </c>
      <c r="BG2">
        <v>1660.4599609375</v>
      </c>
      <c r="BH2">
        <v>1692.420043945312</v>
      </c>
      <c r="BI2">
        <v>1605.800048828125</v>
      </c>
    </row>
    <row r="3" spans="1:61">
      <c r="A3" t="s">
        <v>2</v>
      </c>
      <c r="B3">
        <v>466.6601867675781</v>
      </c>
      <c r="C3">
        <v>477.0668640136719</v>
      </c>
      <c r="D3">
        <v>487.2635803222656</v>
      </c>
      <c r="E3">
        <v>548.2140502929688</v>
      </c>
      <c r="F3">
        <v>556.4913330078125</v>
      </c>
      <c r="G3">
        <v>558.120849609375</v>
      </c>
      <c r="H3">
        <v>519.6331787109375</v>
      </c>
      <c r="I3">
        <v>497.7602233886719</v>
      </c>
      <c r="J3">
        <v>463.3612670898438</v>
      </c>
      <c r="K3">
        <v>461.8917236328125</v>
      </c>
      <c r="L3">
        <v>532.868896484375</v>
      </c>
      <c r="M3">
        <v>544.6651611328125</v>
      </c>
      <c r="N3">
        <v>527.05078125</v>
      </c>
      <c r="O3">
        <v>548.3839721679688</v>
      </c>
      <c r="P3">
        <v>519.0033569335938</v>
      </c>
      <c r="Q3">
        <v>451.3750915527344</v>
      </c>
      <c r="R3">
        <v>434.1606140136719</v>
      </c>
      <c r="S3">
        <v>438.1993408203125</v>
      </c>
      <c r="T3">
        <v>437.7894592285156</v>
      </c>
      <c r="U3">
        <v>453.9542846679688</v>
      </c>
      <c r="V3">
        <v>487.1336364746094</v>
      </c>
      <c r="W3">
        <v>508.63671875</v>
      </c>
      <c r="X3">
        <v>535.8380126953125</v>
      </c>
      <c r="Y3">
        <v>496.0007934570312</v>
      </c>
      <c r="Z3">
        <v>461.9417114257812</v>
      </c>
      <c r="AA3">
        <v>468.8994750976562</v>
      </c>
      <c r="AB3">
        <v>459.2925720214844</v>
      </c>
      <c r="AC3">
        <v>435.2402954101562</v>
      </c>
      <c r="AD3">
        <v>450.6053466796875</v>
      </c>
      <c r="AE3">
        <v>468.7295227050781</v>
      </c>
      <c r="AF3">
        <v>461.8517456054688</v>
      </c>
      <c r="AG3">
        <v>459.3025817871094</v>
      </c>
      <c r="AH3">
        <v>450.4053955078125</v>
      </c>
      <c r="AI3">
        <v>450.2954406738281</v>
      </c>
      <c r="AJ3">
        <v>448.7559509277344</v>
      </c>
      <c r="AK3">
        <v>441.4283142089844</v>
      </c>
      <c r="AL3">
        <v>467.3099670410156</v>
      </c>
      <c r="AM3">
        <v>477.2999877929688</v>
      </c>
      <c r="AN3">
        <v>482.2799987792969</v>
      </c>
      <c r="AO3">
        <v>460.9299926757812</v>
      </c>
      <c r="AP3">
        <v>447.1799926757812</v>
      </c>
      <c r="AQ3">
        <v>426.9400024414062</v>
      </c>
      <c r="AR3">
        <v>411.9599914550781</v>
      </c>
      <c r="AS3">
        <v>416.9700012207031</v>
      </c>
      <c r="AT3">
        <v>423.8699951171875</v>
      </c>
      <c r="AU3">
        <v>441.3599853515625</v>
      </c>
      <c r="AV3">
        <v>448.1700134277344</v>
      </c>
      <c r="AW3">
        <v>464.6000061035156</v>
      </c>
      <c r="AX3">
        <v>473.6900024414062</v>
      </c>
      <c r="AY3">
        <v>450.3099975585938</v>
      </c>
      <c r="AZ3">
        <v>456.8099975585938</v>
      </c>
      <c r="BA3">
        <v>453.2300109863281</v>
      </c>
      <c r="BB3">
        <v>453.4800109863281</v>
      </c>
      <c r="BC3">
        <v>454.4599914550781</v>
      </c>
      <c r="BD3">
        <v>462.5599975585938</v>
      </c>
      <c r="BE3">
        <v>415.2900085449219</v>
      </c>
      <c r="BF3">
        <v>441.6400146484375</v>
      </c>
      <c r="BG3">
        <v>411.0400085449219</v>
      </c>
      <c r="BH3">
        <v>405.4200134277344</v>
      </c>
      <c r="BI3">
        <v>393.3999938964844</v>
      </c>
    </row>
    <row r="4" spans="1:61">
      <c r="A4" t="s">
        <v>3</v>
      </c>
      <c r="B4">
        <v>299.1040954589844</v>
      </c>
      <c r="C4">
        <v>308.4579162597656</v>
      </c>
      <c r="D4">
        <v>312.1038208007812</v>
      </c>
      <c r="E4">
        <v>313.5880737304688</v>
      </c>
      <c r="F4">
        <v>309.7230529785156</v>
      </c>
      <c r="G4">
        <v>304.0848388671875</v>
      </c>
      <c r="H4">
        <v>301.33544921875</v>
      </c>
      <c r="I4">
        <v>303.756103515625</v>
      </c>
      <c r="J4">
        <v>297.7294006347656</v>
      </c>
      <c r="K4">
        <v>300.1600036621094</v>
      </c>
      <c r="L4">
        <v>310.5099792480469</v>
      </c>
      <c r="M4">
        <v>312.8999938964844</v>
      </c>
      <c r="N4">
        <v>307.5400085449219</v>
      </c>
      <c r="O4">
        <v>308.7300109863281</v>
      </c>
      <c r="P4">
        <v>302.3900146484375</v>
      </c>
      <c r="Q4">
        <v>302.989990234375</v>
      </c>
      <c r="R4">
        <v>298.3099975585938</v>
      </c>
      <c r="S4">
        <v>314.9500122070312</v>
      </c>
      <c r="T4">
        <v>323.9200134277344</v>
      </c>
      <c r="U4">
        <v>330.2099914550781</v>
      </c>
      <c r="V4">
        <v>342.9200134277344</v>
      </c>
      <c r="W4">
        <v>341.6700134277344</v>
      </c>
      <c r="X4">
        <v>347.1900024414062</v>
      </c>
      <c r="Y4">
        <v>350.0499877929688</v>
      </c>
      <c r="Z4">
        <v>346.260009765625</v>
      </c>
      <c r="AA4">
        <v>341.510009765625</v>
      </c>
      <c r="AB4">
        <v>348.8599853515625</v>
      </c>
      <c r="AC4">
        <v>346</v>
      </c>
      <c r="AD4">
        <v>340.4100036621094</v>
      </c>
      <c r="AE4">
        <v>348.0299987792969</v>
      </c>
      <c r="AF4">
        <v>346.5899963378906</v>
      </c>
      <c r="AG4">
        <v>352.3599853515625</v>
      </c>
      <c r="AH4">
        <v>358.9200134277344</v>
      </c>
      <c r="AI4">
        <v>361.989990234375</v>
      </c>
      <c r="AJ4">
        <v>366.0899963378906</v>
      </c>
      <c r="AK4">
        <v>370.6900024414062</v>
      </c>
      <c r="AL4">
        <v>370.7200012207031</v>
      </c>
      <c r="AM4">
        <v>382.8500061035156</v>
      </c>
      <c r="AN4">
        <v>388.9500122070312</v>
      </c>
      <c r="AO4">
        <v>385.4299926757812</v>
      </c>
      <c r="AP4">
        <v>390.4200134277344</v>
      </c>
      <c r="AQ4">
        <v>382.9500122070312</v>
      </c>
      <c r="AR4">
        <v>397.0400085449219</v>
      </c>
      <c r="AS4">
        <v>403.2799987792969</v>
      </c>
      <c r="AT4">
        <v>412.5299987792969</v>
      </c>
      <c r="AU4">
        <v>413.2799987792969</v>
      </c>
      <c r="AV4">
        <v>393.2699890136719</v>
      </c>
      <c r="AW4">
        <v>377.1400146484375</v>
      </c>
      <c r="AX4">
        <v>375.8399963378906</v>
      </c>
      <c r="AY4">
        <v>382.8599853515625</v>
      </c>
      <c r="AZ4">
        <v>387.1799926757812</v>
      </c>
      <c r="BA4">
        <v>389.5700073242188</v>
      </c>
      <c r="BB4">
        <v>387.7200012207031</v>
      </c>
      <c r="BC4">
        <v>387.6099853515625</v>
      </c>
      <c r="BD4">
        <v>408.4599914550781</v>
      </c>
      <c r="BE4">
        <v>406.2999877929688</v>
      </c>
      <c r="BF4">
        <v>419.3299865722656</v>
      </c>
      <c r="BG4">
        <v>419.2200012207031</v>
      </c>
      <c r="BH4">
        <v>424.1000061035156</v>
      </c>
      <c r="BI4">
        <v>443.2049865722656</v>
      </c>
    </row>
    <row r="5" spans="1:61">
      <c r="A5" t="s">
        <v>4</v>
      </c>
      <c r="B5">
        <v>305.0148315429688</v>
      </c>
      <c r="C5">
        <v>311.7463989257812</v>
      </c>
      <c r="D5">
        <v>314.4490051269531</v>
      </c>
      <c r="E5">
        <v>318.8868408203125</v>
      </c>
      <c r="F5">
        <v>314.9576110839844</v>
      </c>
      <c r="G5">
        <v>311.4172973632812</v>
      </c>
      <c r="H5">
        <v>308.3955688476562</v>
      </c>
      <c r="I5">
        <v>311.4970703125</v>
      </c>
      <c r="J5">
        <v>305.2142639160156</v>
      </c>
      <c r="K5">
        <v>307.8769836425781</v>
      </c>
      <c r="L5">
        <v>313.2223510742188</v>
      </c>
      <c r="M5">
        <v>315.6058349609375</v>
      </c>
      <c r="N5">
        <v>306.1915893554688</v>
      </c>
      <c r="O5">
        <v>311.75634765625</v>
      </c>
      <c r="P5">
        <v>296.9369506835938</v>
      </c>
      <c r="Q5">
        <v>298.432861328125</v>
      </c>
      <c r="R5">
        <v>297.3857421875</v>
      </c>
      <c r="S5">
        <v>319.4453125</v>
      </c>
      <c r="T5">
        <v>335.5013732910156</v>
      </c>
      <c r="U5">
        <v>347.2990417480469</v>
      </c>
      <c r="V5">
        <v>355.3968811035156</v>
      </c>
      <c r="W5">
        <v>354.4494934082031</v>
      </c>
      <c r="X5">
        <v>357.2019348144531</v>
      </c>
      <c r="Y5">
        <v>365.2099914550781</v>
      </c>
      <c r="Z5">
        <v>360.75</v>
      </c>
      <c r="AA5">
        <v>358.2300109863281</v>
      </c>
      <c r="AB5">
        <v>360.7200012207031</v>
      </c>
      <c r="AC5">
        <v>362.5199890136719</v>
      </c>
      <c r="AD5">
        <v>354.8800048828125</v>
      </c>
      <c r="AE5">
        <v>362.2699890136719</v>
      </c>
      <c r="AF5">
        <v>363.5400085449219</v>
      </c>
      <c r="AG5">
        <v>368.8299865722656</v>
      </c>
      <c r="AH5">
        <v>373.3200073242188</v>
      </c>
      <c r="AI5">
        <v>383</v>
      </c>
      <c r="AJ5">
        <v>387</v>
      </c>
      <c r="AK5">
        <v>387.7099914550781</v>
      </c>
      <c r="AL5">
        <v>388.8999938964844</v>
      </c>
      <c r="AM5">
        <v>397.7699890136719</v>
      </c>
      <c r="AN5">
        <v>399.4400024414062</v>
      </c>
      <c r="AO5">
        <v>392.4200134277344</v>
      </c>
      <c r="AP5">
        <v>395.9299926757812</v>
      </c>
      <c r="AQ5">
        <v>396.4500122070312</v>
      </c>
      <c r="AR5">
        <v>410.8399963378906</v>
      </c>
      <c r="AS5">
        <v>413.9200134277344</v>
      </c>
      <c r="AT5">
        <v>421.9599914550781</v>
      </c>
      <c r="AU5">
        <v>424.8900146484375</v>
      </c>
      <c r="AV5">
        <v>402.3800048828125</v>
      </c>
      <c r="AW5">
        <v>389.6799926757812</v>
      </c>
      <c r="AX5">
        <v>388.3800048828125</v>
      </c>
      <c r="AY5">
        <v>390.9500122070312</v>
      </c>
      <c r="AZ5">
        <v>393.5199890136719</v>
      </c>
      <c r="BA5">
        <v>389.4400024414062</v>
      </c>
      <c r="BB5">
        <v>392.0299987792969</v>
      </c>
      <c r="BC5">
        <v>395.4200134277344</v>
      </c>
      <c r="BD5">
        <v>420.1499938964844</v>
      </c>
      <c r="BE5">
        <v>422.3299865722656</v>
      </c>
      <c r="BF5">
        <v>433.4700012207031</v>
      </c>
      <c r="BG5">
        <v>432.3599853515625</v>
      </c>
      <c r="BH5">
        <v>442.260009765625</v>
      </c>
      <c r="BI5">
        <v>462.239990234375</v>
      </c>
    </row>
    <row r="6" spans="1:61">
      <c r="A6" t="s">
        <v>5</v>
      </c>
      <c r="B6">
        <v>53.40494537353516</v>
      </c>
      <c r="C6">
        <v>54.60941696166992</v>
      </c>
      <c r="D6">
        <v>54.93790817260742</v>
      </c>
      <c r="E6">
        <v>56.24192428588867</v>
      </c>
      <c r="F6">
        <v>57.23735809326172</v>
      </c>
      <c r="G6">
        <v>57.33689880371094</v>
      </c>
      <c r="H6">
        <v>57.03827285766602</v>
      </c>
      <c r="I6">
        <v>54.67909622192383</v>
      </c>
      <c r="J6">
        <v>53.68366622924805</v>
      </c>
      <c r="K6">
        <v>55.77407073974609</v>
      </c>
      <c r="L6">
        <v>55.69443893432617</v>
      </c>
      <c r="M6">
        <v>56.80932235717773</v>
      </c>
      <c r="N6">
        <v>55.21663284301758</v>
      </c>
      <c r="O6">
        <v>54.8383674621582</v>
      </c>
      <c r="P6">
        <v>53.56421279907227</v>
      </c>
      <c r="Q6">
        <v>55.78402709960938</v>
      </c>
      <c r="R6">
        <v>55.65462112426758</v>
      </c>
      <c r="S6">
        <v>58.38210678100586</v>
      </c>
      <c r="T6">
        <v>58.79023361206055</v>
      </c>
      <c r="U6">
        <v>58.28256225585938</v>
      </c>
      <c r="V6">
        <v>57.43644714355469</v>
      </c>
      <c r="W6">
        <v>58.09342956542969</v>
      </c>
      <c r="X6">
        <v>58.77032470703125</v>
      </c>
      <c r="Y6">
        <v>59.52685165405273</v>
      </c>
      <c r="Z6">
        <v>59.81552886962891</v>
      </c>
      <c r="AA6">
        <v>61.23899841308594</v>
      </c>
      <c r="AB6">
        <v>61.02000045776367</v>
      </c>
      <c r="AC6">
        <v>59.8354377746582</v>
      </c>
      <c r="AD6">
        <v>58.1431999206543</v>
      </c>
      <c r="AE6">
        <v>58.35224151611328</v>
      </c>
      <c r="AF6">
        <v>58.89972686767578</v>
      </c>
      <c r="AG6">
        <v>58.83004760742188</v>
      </c>
      <c r="AH6">
        <v>59.90511703491211</v>
      </c>
      <c r="AI6">
        <v>60.67160034179688</v>
      </c>
      <c r="AJ6">
        <v>60.63178253173828</v>
      </c>
      <c r="AK6">
        <v>60.33315277099609</v>
      </c>
      <c r="AL6">
        <v>59.7657585144043</v>
      </c>
      <c r="AM6">
        <v>60.37297058105469</v>
      </c>
      <c r="AN6">
        <v>61.02000045776367</v>
      </c>
      <c r="AO6">
        <v>61.15999984741211</v>
      </c>
      <c r="AP6">
        <v>61.45999908447266</v>
      </c>
      <c r="AQ6">
        <v>61.77999877929688</v>
      </c>
      <c r="AR6">
        <v>63.52000045776367</v>
      </c>
      <c r="AS6">
        <v>59.36000061035156</v>
      </c>
      <c r="AT6">
        <v>59.29000091552734</v>
      </c>
      <c r="AU6">
        <v>58.84000015258789</v>
      </c>
      <c r="AV6">
        <v>57.25</v>
      </c>
      <c r="AW6">
        <v>56.31000137329102</v>
      </c>
      <c r="AX6">
        <v>57.36000061035156</v>
      </c>
      <c r="AY6">
        <v>58.04999923706055</v>
      </c>
      <c r="AZ6">
        <v>56.86000061035156</v>
      </c>
      <c r="BA6">
        <v>56.09999847412109</v>
      </c>
      <c r="BB6">
        <v>54.93999862670898</v>
      </c>
      <c r="BC6">
        <v>55.31999969482422</v>
      </c>
      <c r="BD6">
        <v>57.84000015258789</v>
      </c>
      <c r="BE6">
        <v>58.08000183105469</v>
      </c>
      <c r="BF6">
        <v>58.31000137329102</v>
      </c>
      <c r="BG6">
        <v>58.33000183105469</v>
      </c>
      <c r="BH6">
        <v>58.20999908447266</v>
      </c>
      <c r="BI6">
        <v>60.04999923706055</v>
      </c>
    </row>
    <row r="7" spans="1:61">
      <c r="A7" t="s">
        <v>6</v>
      </c>
      <c r="B7">
        <v>200.2571258544922</v>
      </c>
      <c r="C7">
        <v>205.7678680419922</v>
      </c>
      <c r="D7">
        <v>207.6976318359375</v>
      </c>
      <c r="E7">
        <v>211.1493225097656</v>
      </c>
      <c r="F7">
        <v>210.2938537597656</v>
      </c>
      <c r="G7">
        <v>205.8872375488281</v>
      </c>
      <c r="H7">
        <v>205.6783599853516</v>
      </c>
      <c r="I7">
        <v>206.7228088378906</v>
      </c>
      <c r="J7">
        <v>204.7632141113281</v>
      </c>
      <c r="K7">
        <v>205.7181396484375</v>
      </c>
      <c r="L7">
        <v>209.4881286621094</v>
      </c>
      <c r="M7">
        <v>210.5624237060547</v>
      </c>
      <c r="N7">
        <v>205.1014099121094</v>
      </c>
      <c r="O7">
        <v>204.8029937744141</v>
      </c>
      <c r="P7">
        <v>201.4806365966797</v>
      </c>
      <c r="Q7">
        <v>204.4349517822266</v>
      </c>
      <c r="R7">
        <v>202.8334503173828</v>
      </c>
      <c r="S7">
        <v>214.3821563720703</v>
      </c>
      <c r="T7">
        <v>223.1754760742188</v>
      </c>
      <c r="U7">
        <v>224.3890380859375</v>
      </c>
      <c r="V7">
        <v>231.3819274902344</v>
      </c>
      <c r="W7">
        <v>232.3766479492188</v>
      </c>
      <c r="X7">
        <v>239.2800140380859</v>
      </c>
      <c r="Y7">
        <v>243.4900054931641</v>
      </c>
      <c r="Z7">
        <v>242.2899932861328</v>
      </c>
      <c r="AA7">
        <v>240</v>
      </c>
      <c r="AB7">
        <v>242.8699951171875</v>
      </c>
      <c r="AC7">
        <v>241.9600067138672</v>
      </c>
      <c r="AD7">
        <v>236.8999938964844</v>
      </c>
      <c r="AE7">
        <v>242.2299957275391</v>
      </c>
      <c r="AF7">
        <v>239.8099975585938</v>
      </c>
      <c r="AG7">
        <v>244.0099945068359</v>
      </c>
      <c r="AH7">
        <v>246.5800018310547</v>
      </c>
      <c r="AI7">
        <v>252.0200042724609</v>
      </c>
      <c r="AJ7">
        <v>256.0899963378906</v>
      </c>
      <c r="AK7">
        <v>254.6600036621094</v>
      </c>
      <c r="AL7">
        <v>255.0899963378906</v>
      </c>
      <c r="AM7">
        <v>259.1400146484375</v>
      </c>
      <c r="AN7">
        <v>260.7799987792969</v>
      </c>
      <c r="AO7">
        <v>258.510009765625</v>
      </c>
      <c r="AP7">
        <v>259.4700012207031</v>
      </c>
      <c r="AQ7">
        <v>257.0599975585938</v>
      </c>
      <c r="AR7">
        <v>264.9299926757812</v>
      </c>
      <c r="AS7">
        <v>264.6300048828125</v>
      </c>
      <c r="AT7">
        <v>274.2099914550781</v>
      </c>
      <c r="AU7">
        <v>273.1300048828125</v>
      </c>
      <c r="AV7">
        <v>261.75</v>
      </c>
      <c r="AW7">
        <v>256.7799987792969</v>
      </c>
      <c r="AX7">
        <v>256.4800109863281</v>
      </c>
      <c r="AY7">
        <v>255.8699951171875</v>
      </c>
      <c r="AZ7">
        <v>255.75</v>
      </c>
      <c r="BA7">
        <v>253.5500030517578</v>
      </c>
      <c r="BB7">
        <v>252.25</v>
      </c>
      <c r="BC7">
        <v>255.3099975585938</v>
      </c>
      <c r="BD7">
        <v>264.2300109863281</v>
      </c>
      <c r="BE7">
        <v>264.5799865722656</v>
      </c>
      <c r="BF7">
        <v>269.7200012207031</v>
      </c>
      <c r="BG7">
        <v>269.7900085449219</v>
      </c>
      <c r="BH7">
        <v>271.6199951171875</v>
      </c>
      <c r="BI7">
        <v>279.9800109863281</v>
      </c>
    </row>
    <row r="8" spans="1:61">
      <c r="A8" t="s">
        <v>7</v>
      </c>
      <c r="B8">
        <v>34.04041290283203</v>
      </c>
      <c r="C8">
        <v>34.97384262084961</v>
      </c>
      <c r="D8">
        <v>34.59650039672852</v>
      </c>
      <c r="E8">
        <v>35.52000045776367</v>
      </c>
      <c r="F8">
        <v>36.18000030517578</v>
      </c>
      <c r="G8">
        <v>36.41999816894531</v>
      </c>
      <c r="H8">
        <v>36.15000152587891</v>
      </c>
      <c r="I8">
        <v>34.7400016784668</v>
      </c>
      <c r="J8">
        <v>34.93000030517578</v>
      </c>
      <c r="K8">
        <v>36.70000076293945</v>
      </c>
      <c r="L8">
        <v>36.33000183105469</v>
      </c>
      <c r="M8">
        <v>37.31999969482422</v>
      </c>
      <c r="N8">
        <v>36.86999893188477</v>
      </c>
      <c r="O8">
        <v>35.79999923706055</v>
      </c>
      <c r="P8">
        <v>34.65999984741211</v>
      </c>
      <c r="Q8">
        <v>36.52999877929688</v>
      </c>
      <c r="R8">
        <v>37.63000106811523</v>
      </c>
      <c r="S8">
        <v>41.02000045776367</v>
      </c>
      <c r="T8">
        <v>40.61999893188477</v>
      </c>
      <c r="U8">
        <v>39.97000122070312</v>
      </c>
      <c r="V8">
        <v>40</v>
      </c>
      <c r="W8">
        <v>40.47000122070312</v>
      </c>
      <c r="X8">
        <v>41.58000183105469</v>
      </c>
      <c r="Y8">
        <v>42.36999893188477</v>
      </c>
      <c r="Z8">
        <v>43.45000076293945</v>
      </c>
      <c r="AA8">
        <v>44.38999938964844</v>
      </c>
      <c r="AB8">
        <v>43.38999938964844</v>
      </c>
      <c r="AC8">
        <v>42.95999908447266</v>
      </c>
      <c r="AD8">
        <v>41.34999847412109</v>
      </c>
      <c r="AE8">
        <v>41.18999862670898</v>
      </c>
      <c r="AF8">
        <v>42.38000106811523</v>
      </c>
      <c r="AG8">
        <v>42.54000091552734</v>
      </c>
      <c r="AH8">
        <v>43.15000152587891</v>
      </c>
      <c r="AI8">
        <v>44.29999923706055</v>
      </c>
      <c r="AJ8">
        <v>44.70000076293945</v>
      </c>
      <c r="AK8">
        <v>44.18000030517578</v>
      </c>
      <c r="AL8">
        <v>42.77000045776367</v>
      </c>
      <c r="AM8">
        <v>43.54999923706055</v>
      </c>
      <c r="AN8">
        <v>44.84000015258789</v>
      </c>
      <c r="AO8">
        <v>44.52999877929688</v>
      </c>
      <c r="AP8">
        <v>44.72999954223633</v>
      </c>
      <c r="AQ8">
        <v>45.02999877929688</v>
      </c>
      <c r="AR8">
        <v>47.40999984741211</v>
      </c>
      <c r="AS8">
        <v>44.79000091552734</v>
      </c>
      <c r="AT8">
        <v>45.45999908447266</v>
      </c>
      <c r="AU8">
        <v>44.86999893188477</v>
      </c>
      <c r="AV8">
        <v>43.81000137329102</v>
      </c>
      <c r="AW8">
        <v>42.29999923706055</v>
      </c>
      <c r="AX8">
        <v>43.70000076293945</v>
      </c>
      <c r="AY8">
        <v>43.68000030517578</v>
      </c>
      <c r="AZ8">
        <v>42.7400016784668</v>
      </c>
      <c r="BA8">
        <v>42.33000183105469</v>
      </c>
      <c r="BB8">
        <v>42.18999862670898</v>
      </c>
      <c r="BC8">
        <v>41.54000091552734</v>
      </c>
      <c r="BD8">
        <v>43.34000015258789</v>
      </c>
      <c r="BE8">
        <v>43.68000030517578</v>
      </c>
      <c r="BF8">
        <v>43.84999847412109</v>
      </c>
      <c r="BG8">
        <v>44.09999847412109</v>
      </c>
      <c r="BH8">
        <v>43.81000137329102</v>
      </c>
      <c r="BI8">
        <v>45.72000122070312</v>
      </c>
    </row>
    <row r="9" spans="1:61">
      <c r="A9" t="s">
        <v>8</v>
      </c>
      <c r="B9">
        <v>207.1681823730469</v>
      </c>
      <c r="C9">
        <v>202.5833129882812</v>
      </c>
      <c r="D9">
        <v>203.0527954101562</v>
      </c>
      <c r="E9">
        <v>207.0583038330078</v>
      </c>
      <c r="F9">
        <v>211.8229827880859</v>
      </c>
      <c r="G9">
        <v>208.5266571044922</v>
      </c>
      <c r="H9">
        <v>206.6088104248047</v>
      </c>
      <c r="I9">
        <v>196.2903594970703</v>
      </c>
      <c r="J9">
        <v>196.789794921875</v>
      </c>
      <c r="K9">
        <v>189.7976226806641</v>
      </c>
      <c r="L9">
        <v>194.8219909667969</v>
      </c>
      <c r="M9">
        <v>200.5256195068359</v>
      </c>
      <c r="N9">
        <v>206.4090423583984</v>
      </c>
      <c r="O9">
        <v>211.7031097412109</v>
      </c>
      <c r="P9">
        <v>218.9749755859375</v>
      </c>
      <c r="Q9">
        <v>218.7452392578125</v>
      </c>
      <c r="R9">
        <v>223.7096862792969</v>
      </c>
      <c r="S9">
        <v>217.3068389892578</v>
      </c>
      <c r="T9">
        <v>217.2568969726562</v>
      </c>
      <c r="U9">
        <v>223.8395233154297</v>
      </c>
      <c r="V9">
        <v>225.0481872558594</v>
      </c>
      <c r="W9">
        <v>224.9083404541016</v>
      </c>
      <c r="X9">
        <v>224.7584991455078</v>
      </c>
      <c r="Y9">
        <v>219.4944000244141</v>
      </c>
      <c r="Z9">
        <v>217.3168334960938</v>
      </c>
      <c r="AA9">
        <v>216.6076354980469</v>
      </c>
      <c r="AB9">
        <v>214.4800109863281</v>
      </c>
      <c r="AC9">
        <v>208.2469787597656</v>
      </c>
      <c r="AD9">
        <v>212.8118743896484</v>
      </c>
      <c r="AE9">
        <v>209.4256591796875</v>
      </c>
      <c r="AF9">
        <v>227.7251739501953</v>
      </c>
      <c r="AG9">
        <v>217.3068389892578</v>
      </c>
      <c r="AH9">
        <v>220.5332336425781</v>
      </c>
      <c r="AI9">
        <v>217.1969757080078</v>
      </c>
      <c r="AJ9">
        <v>224.1591796875</v>
      </c>
      <c r="AK9">
        <v>228.1946563720703</v>
      </c>
      <c r="AL9">
        <v>230.1025238037109</v>
      </c>
      <c r="AM9">
        <v>225.4776916503906</v>
      </c>
      <c r="AN9">
        <v>223.4199981689453</v>
      </c>
      <c r="AO9">
        <v>218.3600006103516</v>
      </c>
      <c r="AP9">
        <v>218.2899932861328</v>
      </c>
      <c r="AQ9">
        <v>210.9600067138672</v>
      </c>
      <c r="AR9">
        <v>212.1699981689453</v>
      </c>
      <c r="AS9">
        <v>213.8999938964844</v>
      </c>
      <c r="AT9">
        <v>219.3399963378906</v>
      </c>
      <c r="AU9">
        <v>222.2700042724609</v>
      </c>
      <c r="AV9">
        <v>227.3800048828125</v>
      </c>
      <c r="AW9">
        <v>228.8699951171875</v>
      </c>
      <c r="AX9">
        <v>225.5099945068359</v>
      </c>
      <c r="AY9">
        <v>224.5800018310547</v>
      </c>
      <c r="AZ9">
        <v>225.0700073242188</v>
      </c>
      <c r="BA9">
        <v>228.8600006103516</v>
      </c>
      <c r="BB9">
        <v>227.2100067138672</v>
      </c>
      <c r="BC9">
        <v>228.3800048828125</v>
      </c>
      <c r="BD9">
        <v>230.8600006103516</v>
      </c>
      <c r="BE9">
        <v>233.9499969482422</v>
      </c>
      <c r="BF9">
        <v>238.8999938964844</v>
      </c>
      <c r="BG9">
        <v>239.2400054931641</v>
      </c>
      <c r="BH9">
        <v>237.4700012207031</v>
      </c>
      <c r="BI9">
        <v>230.5</v>
      </c>
    </row>
    <row r="10" spans="1:61">
      <c r="A10" t="s">
        <v>9</v>
      </c>
      <c r="B10">
        <v>336.6689453125</v>
      </c>
      <c r="C10">
        <v>367.7227783203125</v>
      </c>
      <c r="D10">
        <v>367.244384765625</v>
      </c>
      <c r="E10">
        <v>368.3705444335938</v>
      </c>
      <c r="F10">
        <v>370.8121643066406</v>
      </c>
      <c r="G10">
        <v>375.0875549316406</v>
      </c>
      <c r="H10">
        <v>385.9404907226562</v>
      </c>
      <c r="I10">
        <v>389.0199584960938</v>
      </c>
      <c r="J10">
        <v>395.8665161132812</v>
      </c>
      <c r="K10">
        <v>387.6845092773438</v>
      </c>
      <c r="L10">
        <v>374.7088623046875</v>
      </c>
      <c r="M10">
        <v>373.0844116210938</v>
      </c>
      <c r="N10">
        <v>372.5462646484375</v>
      </c>
      <c r="O10">
        <v>375.8648986816406</v>
      </c>
      <c r="P10">
        <v>381.1468811035156</v>
      </c>
      <c r="Q10">
        <v>384.6847534179688</v>
      </c>
      <c r="R10">
        <v>383.0005187988281</v>
      </c>
      <c r="S10">
        <v>374.3401184082031</v>
      </c>
      <c r="T10">
        <v>374.3301391601562</v>
      </c>
      <c r="U10">
        <v>368.8987426757812</v>
      </c>
      <c r="V10">
        <v>368.7392883300781</v>
      </c>
      <c r="W10">
        <v>369.0980224609375</v>
      </c>
      <c r="X10">
        <v>363.2680053710938</v>
      </c>
      <c r="Y10">
        <v>366.6763305664062</v>
      </c>
      <c r="Z10">
        <v>360.9857788085938</v>
      </c>
      <c r="AA10">
        <v>363.248046875</v>
      </c>
      <c r="AB10">
        <v>362.3411254882812</v>
      </c>
      <c r="AC10">
        <v>369.2873840332031</v>
      </c>
      <c r="AD10">
        <v>368.4004516601562</v>
      </c>
      <c r="AE10">
        <v>369.8853454589844</v>
      </c>
      <c r="AF10">
        <v>368.071533203125</v>
      </c>
      <c r="AG10">
        <v>368.6396179199219</v>
      </c>
      <c r="AH10">
        <v>364.6831359863281</v>
      </c>
      <c r="AI10">
        <v>362.6799926757812</v>
      </c>
      <c r="AJ10">
        <v>364.9322814941406</v>
      </c>
      <c r="AK10">
        <v>373.0644836425781</v>
      </c>
      <c r="AL10">
        <v>368.0914916992188</v>
      </c>
      <c r="AM10">
        <v>364.4140625</v>
      </c>
      <c r="AN10">
        <v>365.6000061035156</v>
      </c>
      <c r="AO10">
        <v>367.5599975585938</v>
      </c>
      <c r="AP10">
        <v>375.2000122070312</v>
      </c>
      <c r="AQ10">
        <v>378.0499877929688</v>
      </c>
      <c r="AR10">
        <v>377.9700012207031</v>
      </c>
      <c r="AS10">
        <v>378.9200134277344</v>
      </c>
      <c r="AT10">
        <v>379.489990234375</v>
      </c>
      <c r="AU10">
        <v>374.6199951171875</v>
      </c>
      <c r="AV10">
        <v>371.1300048828125</v>
      </c>
      <c r="AW10">
        <v>362.010009765625</v>
      </c>
      <c r="AX10">
        <v>360.3900146484375</v>
      </c>
      <c r="AY10">
        <v>362.3900146484375</v>
      </c>
      <c r="AZ10">
        <v>363.0400085449219</v>
      </c>
      <c r="BA10">
        <v>363.1600036621094</v>
      </c>
      <c r="BB10">
        <v>363.2099914550781</v>
      </c>
      <c r="BC10">
        <v>356.510009765625</v>
      </c>
      <c r="BD10">
        <v>361.6400146484375</v>
      </c>
      <c r="BE10">
        <v>360.3800048828125</v>
      </c>
      <c r="BF10">
        <v>360.7000122070312</v>
      </c>
      <c r="BG10">
        <v>360.6400146484375</v>
      </c>
      <c r="BH10">
        <v>360.6099853515625</v>
      </c>
      <c r="BI10">
        <v>370.8900146484375</v>
      </c>
    </row>
    <row r="11" spans="1:61">
      <c r="A11" t="s">
        <v>10</v>
      </c>
      <c r="B11">
        <v>353.5804443359375</v>
      </c>
      <c r="C11">
        <v>345.8954467773438</v>
      </c>
      <c r="D11">
        <v>351.1420288085938</v>
      </c>
      <c r="E11">
        <v>345.9653930664062</v>
      </c>
      <c r="F11">
        <v>341.6881713867188</v>
      </c>
      <c r="G11">
        <v>318.1334533691406</v>
      </c>
      <c r="H11">
        <v>318.8829650878906</v>
      </c>
      <c r="I11">
        <v>326.3581237792969</v>
      </c>
      <c r="J11">
        <v>332.3842163085938</v>
      </c>
      <c r="K11">
        <v>335.5421752929688</v>
      </c>
      <c r="L11">
        <v>333.4635009765625</v>
      </c>
      <c r="M11">
        <v>356.4186096191406</v>
      </c>
      <c r="N11">
        <v>372.2283325195312</v>
      </c>
      <c r="O11">
        <v>375.1064758300781</v>
      </c>
      <c r="P11">
        <v>359.8963623046875</v>
      </c>
      <c r="Q11">
        <v>356.3886108398438</v>
      </c>
      <c r="R11">
        <v>353.2406616210938</v>
      </c>
      <c r="S11">
        <v>355.609130859375</v>
      </c>
      <c r="T11">
        <v>342.7774658203125</v>
      </c>
      <c r="U11">
        <v>342.1478576660156</v>
      </c>
      <c r="V11">
        <v>343.7168579101562</v>
      </c>
      <c r="W11">
        <v>343.3171081542969</v>
      </c>
      <c r="X11">
        <v>341.2284851074219</v>
      </c>
      <c r="Y11">
        <v>341.0585632324219</v>
      </c>
      <c r="Z11">
        <v>341.4783325195312</v>
      </c>
      <c r="AA11">
        <v>337.9805908203125</v>
      </c>
      <c r="AB11">
        <v>341.5282592773438</v>
      </c>
      <c r="AC11">
        <v>344.3664245605469</v>
      </c>
      <c r="AD11">
        <v>343.1172485351562</v>
      </c>
      <c r="AE11">
        <v>338.8800048828125</v>
      </c>
      <c r="AF11">
        <v>337.4908752441406</v>
      </c>
      <c r="AG11">
        <v>342.6575317382812</v>
      </c>
      <c r="AH11">
        <v>335.1923828125</v>
      </c>
      <c r="AI11">
        <v>331.8145751953125</v>
      </c>
      <c r="AJ11">
        <v>333.5634460449219</v>
      </c>
      <c r="AK11">
        <v>338.8599853515625</v>
      </c>
      <c r="AL11">
        <v>335.3099975585938</v>
      </c>
      <c r="AM11">
        <v>335.3800048828125</v>
      </c>
      <c r="AN11">
        <v>328.3800048828125</v>
      </c>
      <c r="AO11">
        <v>330.3900146484375</v>
      </c>
      <c r="AP11">
        <v>335.4500122070312</v>
      </c>
      <c r="AQ11">
        <v>345.7099914550781</v>
      </c>
      <c r="AR11">
        <v>341.4299926757812</v>
      </c>
      <c r="AS11">
        <v>339.3599853515625</v>
      </c>
      <c r="AT11">
        <v>343.6799926757812</v>
      </c>
      <c r="AU11">
        <v>344.4100036621094</v>
      </c>
      <c r="AV11">
        <v>350.8699951171875</v>
      </c>
      <c r="AW11">
        <v>347.4100036621094</v>
      </c>
      <c r="AX11">
        <v>334.9800109863281</v>
      </c>
      <c r="AY11">
        <v>339.010009765625</v>
      </c>
      <c r="AZ11">
        <v>341.0799865722656</v>
      </c>
      <c r="BA11">
        <v>339.1600036621094</v>
      </c>
      <c r="BB11">
        <v>337.3200073242188</v>
      </c>
      <c r="BC11">
        <v>340.739990234375</v>
      </c>
      <c r="BD11">
        <v>334.9299926757812</v>
      </c>
      <c r="BE11">
        <v>340.3500061035156</v>
      </c>
      <c r="BF11">
        <v>343.8299865722656</v>
      </c>
      <c r="BG11">
        <v>344.5899963378906</v>
      </c>
      <c r="BH11">
        <v>347.3699951171875</v>
      </c>
      <c r="BI11">
        <v>343.6000061035156</v>
      </c>
    </row>
    <row r="12" spans="1:61">
      <c r="A12" t="s">
        <v>11</v>
      </c>
      <c r="B12">
        <v>63.88999938964844</v>
      </c>
      <c r="C12">
        <v>66.44000244140625</v>
      </c>
      <c r="D12">
        <v>65.83999633789062</v>
      </c>
      <c r="E12">
        <v>67.58999633789062</v>
      </c>
      <c r="F12">
        <v>65.88999938964844</v>
      </c>
      <c r="G12">
        <v>63.7400016784668</v>
      </c>
      <c r="H12">
        <v>63.40999984741211</v>
      </c>
      <c r="I12">
        <v>64.08000183105469</v>
      </c>
      <c r="J12">
        <v>63.90999984741211</v>
      </c>
      <c r="K12">
        <v>61.81999969482422</v>
      </c>
      <c r="L12">
        <v>60.84000015258789</v>
      </c>
      <c r="M12">
        <v>62.22000122070312</v>
      </c>
      <c r="N12">
        <v>63.7599983215332</v>
      </c>
      <c r="O12">
        <v>64.06999969482422</v>
      </c>
      <c r="P12">
        <v>66.98999786376953</v>
      </c>
      <c r="Q12">
        <v>64.19999694824219</v>
      </c>
      <c r="R12">
        <v>65.76999664306641</v>
      </c>
      <c r="S12">
        <v>66.56999969482422</v>
      </c>
      <c r="T12">
        <v>64.87999725341797</v>
      </c>
      <c r="U12">
        <v>67.06999969482422</v>
      </c>
      <c r="V12">
        <v>66.04000091552734</v>
      </c>
      <c r="W12">
        <v>67.47000122070312</v>
      </c>
      <c r="X12">
        <v>64.41000366210938</v>
      </c>
      <c r="Y12">
        <v>65.22000122070312</v>
      </c>
      <c r="Z12">
        <v>64.69999694824219</v>
      </c>
      <c r="AA12">
        <v>64.13999938964844</v>
      </c>
      <c r="AB12">
        <v>65.01999664306641</v>
      </c>
      <c r="AC12">
        <v>65.65000152587891</v>
      </c>
      <c r="AD12">
        <v>65</v>
      </c>
      <c r="AE12">
        <v>65.47000122070312</v>
      </c>
      <c r="AF12">
        <v>65.33000183105469</v>
      </c>
      <c r="AG12">
        <v>64.75</v>
      </c>
      <c r="AH12">
        <v>64.33999633789062</v>
      </c>
      <c r="AI12">
        <v>65.23000335693359</v>
      </c>
      <c r="AJ12">
        <v>67.33999633789062</v>
      </c>
      <c r="AK12">
        <v>68.01999664306641</v>
      </c>
      <c r="AL12">
        <v>67.04000091552734</v>
      </c>
      <c r="AM12">
        <v>64.58000183105469</v>
      </c>
      <c r="AN12">
        <v>64.05999755859375</v>
      </c>
      <c r="AO12">
        <v>65.40000152587891</v>
      </c>
      <c r="AP12">
        <v>66.41999816894531</v>
      </c>
      <c r="AQ12">
        <v>69.41000366210938</v>
      </c>
      <c r="AR12">
        <v>67.66000366210938</v>
      </c>
      <c r="AS12">
        <v>66.01000213623047</v>
      </c>
      <c r="AT12">
        <v>67.09999847412109</v>
      </c>
      <c r="AU12">
        <v>65.11000061035156</v>
      </c>
      <c r="AV12">
        <v>64.98999786376953</v>
      </c>
      <c r="AW12">
        <v>63.29999923706055</v>
      </c>
      <c r="AX12">
        <v>62.08000183105469</v>
      </c>
      <c r="AY12">
        <v>61.91999816894531</v>
      </c>
      <c r="AZ12">
        <v>61.81999969482422</v>
      </c>
      <c r="BA12">
        <v>62.52999877929688</v>
      </c>
      <c r="BB12">
        <v>62.20999908447266</v>
      </c>
      <c r="BC12">
        <v>62.11999893188477</v>
      </c>
      <c r="BD12">
        <v>60.9900016784668</v>
      </c>
      <c r="BE12">
        <v>62.9900016784668</v>
      </c>
      <c r="BF12">
        <v>64.30000305175781</v>
      </c>
      <c r="BG12">
        <v>64.61000061035156</v>
      </c>
      <c r="BH12">
        <v>64.98999786376953</v>
      </c>
      <c r="BI12">
        <v>64.76000213623047</v>
      </c>
    </row>
    <row r="13" spans="1:61">
      <c r="A13" t="s">
        <v>12</v>
      </c>
      <c r="B13">
        <v>354.2322998046875</v>
      </c>
      <c r="C13">
        <v>346.5472412109375</v>
      </c>
      <c r="D13">
        <v>351.7638854980469</v>
      </c>
      <c r="E13">
        <v>346.927001953125</v>
      </c>
      <c r="F13">
        <v>341.8702392578125</v>
      </c>
      <c r="G13">
        <v>317.4859313964844</v>
      </c>
      <c r="H13">
        <v>319.5346069335938</v>
      </c>
      <c r="I13">
        <v>326.3502197265625</v>
      </c>
      <c r="J13">
        <v>333.4956359863281</v>
      </c>
      <c r="K13">
        <v>336.4937133789062</v>
      </c>
      <c r="L13">
        <v>333.4456787109375</v>
      </c>
      <c r="M13">
        <v>355.9012451171875</v>
      </c>
      <c r="N13">
        <v>373.2700805664062</v>
      </c>
      <c r="O13">
        <v>377.4074096679688</v>
      </c>
      <c r="P13">
        <v>362.1971740722656</v>
      </c>
      <c r="Q13">
        <v>357.5202026367188</v>
      </c>
      <c r="R13">
        <v>354.0723876953125</v>
      </c>
      <c r="S13">
        <v>357.2903442382812</v>
      </c>
      <c r="T13">
        <v>343.5791320800781</v>
      </c>
      <c r="U13">
        <v>343.3193359375</v>
      </c>
      <c r="V13">
        <v>346.1375122070312</v>
      </c>
      <c r="W13">
        <v>345.6777954101562</v>
      </c>
      <c r="X13">
        <v>343.7790222167969</v>
      </c>
      <c r="Y13">
        <v>343.9789123535156</v>
      </c>
      <c r="Z13">
        <v>344.4985656738281</v>
      </c>
      <c r="AA13">
        <v>340.451171875</v>
      </c>
      <c r="AB13">
        <v>344.5985107421875</v>
      </c>
      <c r="AC13">
        <v>347.83642578125</v>
      </c>
      <c r="AD13">
        <v>346.7371215820312</v>
      </c>
      <c r="AE13">
        <v>341.7803039550781</v>
      </c>
      <c r="AF13">
        <v>340.4311828613281</v>
      </c>
      <c r="AG13">
        <v>346.3673706054688</v>
      </c>
      <c r="AH13">
        <v>339.1320190429688</v>
      </c>
      <c r="AI13">
        <v>334.8047790527344</v>
      </c>
      <c r="AJ13">
        <v>336.9034423828125</v>
      </c>
      <c r="AK13">
        <v>342.260009765625</v>
      </c>
      <c r="AL13">
        <v>338.4599914550781</v>
      </c>
      <c r="AM13">
        <v>338.3599853515625</v>
      </c>
      <c r="AN13">
        <v>330.6499938964844</v>
      </c>
      <c r="AO13">
        <v>332.6000061035156</v>
      </c>
      <c r="AP13">
        <v>338.5</v>
      </c>
      <c r="AQ13">
        <v>349.3900146484375</v>
      </c>
      <c r="AR13">
        <v>344.9800109863281</v>
      </c>
      <c r="AS13">
        <v>342.8699951171875</v>
      </c>
      <c r="AT13">
        <v>347.3299865722656</v>
      </c>
      <c r="AU13">
        <v>349.5400085449219</v>
      </c>
      <c r="AV13">
        <v>354.9700012207031</v>
      </c>
      <c r="AW13">
        <v>351.1600036621094</v>
      </c>
      <c r="AX13">
        <v>337.8299865722656</v>
      </c>
      <c r="AY13">
        <v>342.3599853515625</v>
      </c>
      <c r="AZ13">
        <v>343.9200134277344</v>
      </c>
      <c r="BA13">
        <v>342.75</v>
      </c>
      <c r="BB13">
        <v>340.9200134277344</v>
      </c>
      <c r="BC13">
        <v>344.0799865722656</v>
      </c>
      <c r="BD13">
        <v>338.239990234375</v>
      </c>
      <c r="BE13">
        <v>343.5</v>
      </c>
      <c r="BF13">
        <v>346.4700012207031</v>
      </c>
      <c r="BG13">
        <v>347.6799926757812</v>
      </c>
      <c r="BH13">
        <v>350.5</v>
      </c>
      <c r="BI13">
        <v>346.6524963378906</v>
      </c>
    </row>
    <row r="14" spans="1:61">
      <c r="A14" t="s">
        <v>13</v>
      </c>
      <c r="B14">
        <v>240.8575897216797</v>
      </c>
      <c r="C14">
        <v>248.8642578125</v>
      </c>
      <c r="D14">
        <v>252.6783905029297</v>
      </c>
      <c r="E14">
        <v>250.6966400146484</v>
      </c>
      <c r="F14">
        <v>250.7862701416016</v>
      </c>
      <c r="G14">
        <v>253.4651184082031</v>
      </c>
      <c r="H14">
        <v>258.8925170898438</v>
      </c>
      <c r="I14">
        <v>260.1871337890625</v>
      </c>
      <c r="J14">
        <v>271.2909240722656</v>
      </c>
      <c r="K14">
        <v>273.2527770996094</v>
      </c>
      <c r="L14">
        <v>264.2801208496094</v>
      </c>
      <c r="M14">
        <v>262.9854736328125</v>
      </c>
      <c r="N14">
        <v>261.5912780761719</v>
      </c>
      <c r="O14">
        <v>261.4718017578125</v>
      </c>
      <c r="P14">
        <v>263.4933776855469</v>
      </c>
      <c r="Q14">
        <v>273.9697570800781</v>
      </c>
      <c r="R14">
        <v>265.8934020996094</v>
      </c>
      <c r="S14">
        <v>268.5523376464844</v>
      </c>
      <c r="T14">
        <v>261.1431579589844</v>
      </c>
      <c r="U14">
        <v>254.7796325683594</v>
      </c>
      <c r="V14">
        <v>259.4004211425781</v>
      </c>
      <c r="W14">
        <v>260.3265686035156</v>
      </c>
      <c r="X14">
        <v>257.0302734375</v>
      </c>
      <c r="Y14">
        <v>260.067626953125</v>
      </c>
      <c r="Z14">
        <v>258.6634826660156</v>
      </c>
      <c r="AA14">
        <v>253.4850311279297</v>
      </c>
      <c r="AB14">
        <v>252.7779693603516</v>
      </c>
      <c r="AC14">
        <v>259.1116027832031</v>
      </c>
      <c r="AD14">
        <v>256.55224609375</v>
      </c>
      <c r="AE14">
        <v>260.7248840332031</v>
      </c>
      <c r="AF14">
        <v>256.55224609375</v>
      </c>
      <c r="AG14">
        <v>259.4999694824219</v>
      </c>
      <c r="AH14">
        <v>257.7999877929688</v>
      </c>
      <c r="AI14">
        <v>257.8699951171875</v>
      </c>
      <c r="AJ14">
        <v>259.3399963378906</v>
      </c>
      <c r="AK14">
        <v>263.1099853515625</v>
      </c>
      <c r="AL14">
        <v>259.5700073242188</v>
      </c>
      <c r="AM14">
        <v>253.4600067138672</v>
      </c>
      <c r="AN14">
        <v>253.5800018310547</v>
      </c>
      <c r="AO14">
        <v>251.7899932861328</v>
      </c>
      <c r="AP14">
        <v>253.7100067138672</v>
      </c>
      <c r="AQ14">
        <v>258.4800109863281</v>
      </c>
      <c r="AR14">
        <v>257.2099914550781</v>
      </c>
      <c r="AS14">
        <v>254.8500061035156</v>
      </c>
      <c r="AT14">
        <v>252.2100067138672</v>
      </c>
      <c r="AU14">
        <v>249.8300018310547</v>
      </c>
      <c r="AV14">
        <v>242.8600006103516</v>
      </c>
      <c r="AW14">
        <v>229.5</v>
      </c>
      <c r="AX14">
        <v>225.6600036621094</v>
      </c>
      <c r="AY14">
        <v>227.1699981689453</v>
      </c>
      <c r="AZ14">
        <v>227.6000061035156</v>
      </c>
      <c r="BA14">
        <v>227.5500030517578</v>
      </c>
      <c r="BB14">
        <v>225.4199981689453</v>
      </c>
      <c r="BC14">
        <v>221.8600006103516</v>
      </c>
      <c r="BD14">
        <v>224.4100036621094</v>
      </c>
      <c r="BE14">
        <v>223.7400054931641</v>
      </c>
      <c r="BF14">
        <v>224.7100067138672</v>
      </c>
      <c r="BG14">
        <v>224.2700042724609</v>
      </c>
      <c r="BH14">
        <v>223.9499969482422</v>
      </c>
      <c r="BI14">
        <v>231.1000061035156</v>
      </c>
    </row>
    <row r="15" spans="1:61">
      <c r="A15" t="s">
        <v>14</v>
      </c>
      <c r="B15">
        <v>139.1420135498047</v>
      </c>
      <c r="C15">
        <v>138.5366668701172</v>
      </c>
      <c r="D15">
        <v>138.5267333984375</v>
      </c>
      <c r="E15">
        <v>137.4251861572266</v>
      </c>
      <c r="F15">
        <v>136.8694610595703</v>
      </c>
      <c r="G15">
        <v>133.4556579589844</v>
      </c>
      <c r="H15">
        <v>135.7381439208984</v>
      </c>
      <c r="I15">
        <v>139.2710113525391</v>
      </c>
      <c r="J15">
        <v>143.1016235351562</v>
      </c>
      <c r="K15">
        <v>144.7886657714844</v>
      </c>
      <c r="L15">
        <v>143.4092559814453</v>
      </c>
      <c r="M15">
        <v>143.3894195556641</v>
      </c>
      <c r="N15">
        <v>148.21240234375</v>
      </c>
      <c r="O15">
        <v>146.9818420410156</v>
      </c>
      <c r="P15">
        <v>146.574951171875</v>
      </c>
      <c r="Q15">
        <v>145.9596862792969</v>
      </c>
      <c r="R15">
        <v>148.5597229003906</v>
      </c>
      <c r="S15">
        <v>150.862060546875</v>
      </c>
      <c r="T15">
        <v>151.1299896240234</v>
      </c>
      <c r="U15">
        <v>154</v>
      </c>
      <c r="V15">
        <v>155.5099945068359</v>
      </c>
      <c r="W15">
        <v>154.4799957275391</v>
      </c>
      <c r="X15">
        <v>151.0099945068359</v>
      </c>
      <c r="Y15">
        <v>152.4799957275391</v>
      </c>
      <c r="Z15">
        <v>159</v>
      </c>
      <c r="AA15">
        <v>158.25</v>
      </c>
      <c r="AB15">
        <v>165.4400024414062</v>
      </c>
      <c r="AC15">
        <v>169.8899993896484</v>
      </c>
      <c r="AD15">
        <v>163.4700012207031</v>
      </c>
      <c r="AE15">
        <v>164.0399932861328</v>
      </c>
      <c r="AF15">
        <v>165.9299926757812</v>
      </c>
      <c r="AG15">
        <v>163.1799926757812</v>
      </c>
      <c r="AH15">
        <v>160.8800048828125</v>
      </c>
      <c r="AI15">
        <v>163.75</v>
      </c>
      <c r="AJ15">
        <v>163.3600006103516</v>
      </c>
      <c r="AK15">
        <v>164.0099945068359</v>
      </c>
      <c r="AL15">
        <v>164.4400024414062</v>
      </c>
      <c r="AM15">
        <v>162.7100067138672</v>
      </c>
      <c r="AN15">
        <v>157.5200042724609</v>
      </c>
      <c r="AO15">
        <v>155.7299957275391</v>
      </c>
      <c r="AP15">
        <v>155.8300018310547</v>
      </c>
      <c r="AQ15">
        <v>158.6999969482422</v>
      </c>
      <c r="AR15">
        <v>154.3999938964844</v>
      </c>
      <c r="AS15">
        <v>154.6799926757812</v>
      </c>
      <c r="AT15">
        <v>159.8300018310547</v>
      </c>
      <c r="AU15">
        <v>158.1900024414062</v>
      </c>
      <c r="AV15">
        <v>157.7100067138672</v>
      </c>
      <c r="AW15">
        <v>159.0200042724609</v>
      </c>
      <c r="AX15">
        <v>156.2599945068359</v>
      </c>
      <c r="AY15">
        <v>156.1499938964844</v>
      </c>
      <c r="AZ15">
        <v>157.4499969482422</v>
      </c>
      <c r="BA15">
        <v>158.4299926757812</v>
      </c>
      <c r="BB15">
        <v>156.4299926757812</v>
      </c>
      <c r="BC15">
        <v>156.6900024414062</v>
      </c>
      <c r="BD15">
        <v>156.6999969482422</v>
      </c>
      <c r="BE15">
        <v>156</v>
      </c>
      <c r="BF15">
        <v>152.9900054931641</v>
      </c>
      <c r="BG15">
        <v>154.3300018310547</v>
      </c>
      <c r="BH15">
        <v>150.9199981689453</v>
      </c>
      <c r="BI15">
        <v>155.9024963378906</v>
      </c>
    </row>
    <row r="16" spans="1:61">
      <c r="A16" t="s">
        <v>15</v>
      </c>
      <c r="B16">
        <v>116.6500015258789</v>
      </c>
      <c r="C16">
        <v>117.25</v>
      </c>
      <c r="D16">
        <v>115.6500015258789</v>
      </c>
      <c r="E16">
        <v>117.3899993896484</v>
      </c>
      <c r="F16">
        <v>115.7900009155273</v>
      </c>
      <c r="G16">
        <v>116.6900024414062</v>
      </c>
      <c r="H16">
        <v>117.6699981689453</v>
      </c>
      <c r="I16">
        <v>118.870002746582</v>
      </c>
      <c r="J16">
        <v>129.9299926757812</v>
      </c>
      <c r="K16">
        <v>127.0999984741211</v>
      </c>
      <c r="L16">
        <v>122.9899978637695</v>
      </c>
      <c r="M16">
        <v>119.5199966430664</v>
      </c>
      <c r="N16">
        <v>118.4300003051758</v>
      </c>
      <c r="O16">
        <v>120.5999984741211</v>
      </c>
      <c r="P16">
        <v>119.8000030517578</v>
      </c>
      <c r="Q16">
        <v>118.379997253418</v>
      </c>
      <c r="R16">
        <v>120.5599975585938</v>
      </c>
      <c r="S16">
        <v>121.5500030517578</v>
      </c>
      <c r="T16">
        <v>121.0699996948242</v>
      </c>
      <c r="U16">
        <v>120.7699966430664</v>
      </c>
      <c r="V16">
        <v>120.5199966430664</v>
      </c>
      <c r="W16">
        <v>120.1600036621094</v>
      </c>
      <c r="X16">
        <v>123.5</v>
      </c>
      <c r="Y16">
        <v>123.4700012207031</v>
      </c>
      <c r="Z16">
        <v>128.4700012207031</v>
      </c>
      <c r="AA16">
        <v>127.2200012207031</v>
      </c>
      <c r="AB16">
        <v>127.8099975585938</v>
      </c>
      <c r="AC16">
        <v>127.9800033569336</v>
      </c>
      <c r="AD16">
        <v>129.7200012207031</v>
      </c>
      <c r="AE16">
        <v>128.1199951171875</v>
      </c>
      <c r="AF16">
        <v>127.7399978637695</v>
      </c>
      <c r="AG16">
        <v>124.370002746582</v>
      </c>
      <c r="AH16">
        <v>123.2200012207031</v>
      </c>
      <c r="AI16">
        <v>125.0100021362305</v>
      </c>
      <c r="AJ16">
        <v>128.8300018310547</v>
      </c>
      <c r="AK16">
        <v>128</v>
      </c>
      <c r="AL16">
        <v>126.75</v>
      </c>
      <c r="AM16">
        <v>124.4000015258789</v>
      </c>
      <c r="AN16">
        <v>126.0100021362305</v>
      </c>
      <c r="AO16">
        <v>123.2799987792969</v>
      </c>
      <c r="AP16">
        <v>121.4700012207031</v>
      </c>
      <c r="AQ16">
        <v>122.1900024414062</v>
      </c>
      <c r="AR16">
        <v>121.7399978637695</v>
      </c>
      <c r="AS16">
        <v>124.75</v>
      </c>
      <c r="AT16">
        <v>127.620002746582</v>
      </c>
      <c r="AU16">
        <v>125.3099975585938</v>
      </c>
      <c r="AV16">
        <v>124.6500015258789</v>
      </c>
      <c r="AW16">
        <v>126.9300003051758</v>
      </c>
      <c r="AX16">
        <v>124.6399993896484</v>
      </c>
      <c r="AY16">
        <v>124.4400024414062</v>
      </c>
      <c r="AZ16">
        <v>123.8899993896484</v>
      </c>
      <c r="BA16">
        <v>124.8199996948242</v>
      </c>
      <c r="BB16">
        <v>123.1999969482422</v>
      </c>
      <c r="BC16">
        <v>121.3499984741211</v>
      </c>
      <c r="BD16">
        <v>117.1399993896484</v>
      </c>
      <c r="BE16">
        <v>115.3000030517578</v>
      </c>
      <c r="BF16">
        <v>114.129997253418</v>
      </c>
      <c r="BG16">
        <v>112.7300033569336</v>
      </c>
      <c r="BH16">
        <v>113.4400024414062</v>
      </c>
      <c r="BI16">
        <v>113.2600021362305</v>
      </c>
    </row>
    <row r="17" spans="1:61">
      <c r="A17" t="s">
        <v>16</v>
      </c>
      <c r="B17">
        <v>249.8899993896484</v>
      </c>
      <c r="C17">
        <v>247.2299957275391</v>
      </c>
      <c r="D17">
        <v>249.9900054931641</v>
      </c>
      <c r="E17">
        <v>247.5500030517578</v>
      </c>
      <c r="F17">
        <v>244.8500061035156</v>
      </c>
      <c r="G17">
        <v>233.6600036621094</v>
      </c>
      <c r="H17">
        <v>232.1100006103516</v>
      </c>
      <c r="I17">
        <v>231.3899993896484</v>
      </c>
      <c r="J17">
        <v>230.8600006103516</v>
      </c>
      <c r="K17">
        <v>226.6499938964844</v>
      </c>
      <c r="L17">
        <v>235.5</v>
      </c>
      <c r="M17">
        <v>271.5799865722656</v>
      </c>
      <c r="N17">
        <v>284.0199890136719</v>
      </c>
      <c r="O17">
        <v>277.4200134277344</v>
      </c>
      <c r="P17">
        <v>272.6499938964844</v>
      </c>
      <c r="Q17">
        <v>272.260009765625</v>
      </c>
      <c r="R17">
        <v>274.4800109863281</v>
      </c>
      <c r="S17">
        <v>278.0899963378906</v>
      </c>
      <c r="T17">
        <v>272.2699890136719</v>
      </c>
      <c r="U17">
        <v>267.2799987792969</v>
      </c>
      <c r="V17">
        <v>265.1300048828125</v>
      </c>
      <c r="W17">
        <v>262.6499938964844</v>
      </c>
      <c r="X17">
        <v>261.3099975585938</v>
      </c>
      <c r="Y17">
        <v>259.4500122070312</v>
      </c>
      <c r="Z17">
        <v>265.8399963378906</v>
      </c>
      <c r="AA17">
        <v>260.1099853515625</v>
      </c>
      <c r="AB17">
        <v>258.6300048828125</v>
      </c>
      <c r="AC17">
        <v>262.0700073242188</v>
      </c>
      <c r="AD17">
        <v>261.0599975585938</v>
      </c>
      <c r="AE17">
        <v>260.2799987792969</v>
      </c>
      <c r="AF17">
        <v>256.260009765625</v>
      </c>
      <c r="AG17">
        <v>266.4299926757812</v>
      </c>
      <c r="AH17">
        <v>259.7699890136719</v>
      </c>
      <c r="AI17">
        <v>254.9199981689453</v>
      </c>
      <c r="AJ17">
        <v>254.9799957275391</v>
      </c>
      <c r="AK17">
        <v>258.8999938964844</v>
      </c>
      <c r="AL17">
        <v>258.510009765625</v>
      </c>
      <c r="AM17">
        <v>256.9700012207031</v>
      </c>
      <c r="AN17">
        <v>252.3999938964844</v>
      </c>
      <c r="AO17">
        <v>251.8899993896484</v>
      </c>
      <c r="AP17">
        <v>256.7799987792969</v>
      </c>
      <c r="AQ17">
        <v>253.5399932861328</v>
      </c>
      <c r="AR17">
        <v>248.4199981689453</v>
      </c>
      <c r="AS17">
        <v>245.9600067138672</v>
      </c>
      <c r="AT17">
        <v>251.1900024414062</v>
      </c>
      <c r="AU17">
        <v>253.7100067138672</v>
      </c>
      <c r="AV17">
        <v>258.4500122070312</v>
      </c>
      <c r="AW17">
        <v>254.9799957275391</v>
      </c>
      <c r="AX17">
        <v>249.2700042724609</v>
      </c>
      <c r="AY17">
        <v>249.3800048828125</v>
      </c>
      <c r="AZ17">
        <v>249.6699981689453</v>
      </c>
      <c r="BA17">
        <v>246.1499938964844</v>
      </c>
      <c r="BB17">
        <v>246.6699981689453</v>
      </c>
      <c r="BC17">
        <v>249.1499938964844</v>
      </c>
      <c r="BD17">
        <v>248.2299957275391</v>
      </c>
      <c r="BE17">
        <v>251.5200042724609</v>
      </c>
      <c r="BF17">
        <v>251.3999938964844</v>
      </c>
      <c r="BG17">
        <v>256.2900085449219</v>
      </c>
      <c r="BH17">
        <v>259.9200134277344</v>
      </c>
      <c r="BI17">
        <v>254.0800018310547</v>
      </c>
    </row>
    <row r="18" spans="1:61">
      <c r="A18" t="s">
        <v>17</v>
      </c>
      <c r="B18">
        <v>190.25</v>
      </c>
      <c r="C18">
        <v>186.6499938964844</v>
      </c>
      <c r="D18">
        <v>184.6799926757812</v>
      </c>
      <c r="E18">
        <v>192.5299987792969</v>
      </c>
      <c r="F18">
        <v>190.8699951171875</v>
      </c>
      <c r="G18">
        <v>196.8600006103516</v>
      </c>
      <c r="H18">
        <v>194.0899963378906</v>
      </c>
      <c r="I18">
        <v>189.4700012207031</v>
      </c>
      <c r="J18">
        <v>192.9799957275391</v>
      </c>
      <c r="K18">
        <v>194.8200073242188</v>
      </c>
      <c r="L18">
        <v>205.0899963378906</v>
      </c>
      <c r="M18">
        <v>205.1000061035156</v>
      </c>
      <c r="N18">
        <v>198.1600036621094</v>
      </c>
      <c r="O18">
        <v>203.0099945068359</v>
      </c>
      <c r="P18">
        <v>199.8699951171875</v>
      </c>
      <c r="Q18">
        <v>193.7200012207031</v>
      </c>
      <c r="R18">
        <v>187.9600067138672</v>
      </c>
      <c r="S18">
        <v>191.7899932861328</v>
      </c>
      <c r="T18">
        <v>192.8399963378906</v>
      </c>
      <c r="U18">
        <v>192.9100036621094</v>
      </c>
      <c r="V18">
        <v>192.6399993896484</v>
      </c>
      <c r="W18">
        <v>190.8899993896484</v>
      </c>
      <c r="X18">
        <v>193.1399993896484</v>
      </c>
      <c r="Y18">
        <v>188.2899932861328</v>
      </c>
      <c r="Z18">
        <v>205</v>
      </c>
      <c r="AA18">
        <v>213.2400054931641</v>
      </c>
      <c r="AB18">
        <v>219.3999938964844</v>
      </c>
      <c r="AC18">
        <v>223.2200012207031</v>
      </c>
      <c r="AD18">
        <v>224.9900054931641</v>
      </c>
      <c r="AE18">
        <v>224.8399963378906</v>
      </c>
      <c r="AF18">
        <v>227.6900024414062</v>
      </c>
      <c r="AG18">
        <v>215.5899963378906</v>
      </c>
      <c r="AH18">
        <v>213.6300048828125</v>
      </c>
      <c r="AI18">
        <v>207.1300048828125</v>
      </c>
      <c r="AJ18">
        <v>213.25</v>
      </c>
      <c r="AK18">
        <v>221.6600036621094</v>
      </c>
      <c r="AL18">
        <v>218.2200012207031</v>
      </c>
      <c r="AM18">
        <v>211.0599975585938</v>
      </c>
      <c r="AN18">
        <v>205</v>
      </c>
      <c r="AO18">
        <v>201.2700042724609</v>
      </c>
      <c r="AP18">
        <v>206.4499969482422</v>
      </c>
      <c r="AQ18">
        <v>208.2100067138672</v>
      </c>
      <c r="AR18">
        <v>222.2899932861328</v>
      </c>
      <c r="AS18">
        <v>228.9299926757812</v>
      </c>
      <c r="AT18">
        <v>245.1799926757812</v>
      </c>
      <c r="AU18">
        <v>239.6199951171875</v>
      </c>
      <c r="AV18">
        <v>238.8200073242188</v>
      </c>
      <c r="AW18">
        <v>247.4600067138672</v>
      </c>
      <c r="AX18">
        <v>255.3800048828125</v>
      </c>
      <c r="AY18">
        <v>273.8999938964844</v>
      </c>
      <c r="AZ18">
        <v>270</v>
      </c>
      <c r="BA18">
        <v>271.8999938964844</v>
      </c>
      <c r="BB18">
        <v>272</v>
      </c>
      <c r="BC18">
        <v>273.6799926757812</v>
      </c>
      <c r="BD18">
        <v>265.7200012207031</v>
      </c>
      <c r="BE18">
        <v>273.0400085449219</v>
      </c>
      <c r="BF18">
        <v>293.6900024414062</v>
      </c>
      <c r="BG18">
        <v>273.5400085449219</v>
      </c>
      <c r="BH18">
        <v>267.760009765625</v>
      </c>
      <c r="BI18">
        <v>261.7749938964844</v>
      </c>
    </row>
    <row r="19" spans="1:61">
      <c r="A19" t="s">
        <v>18</v>
      </c>
      <c r="B19">
        <v>128.4499969482422</v>
      </c>
      <c r="C19">
        <v>125.9400024414062</v>
      </c>
      <c r="D19">
        <v>126.379997253418</v>
      </c>
      <c r="E19">
        <v>125.7399978637695</v>
      </c>
      <c r="F19">
        <v>122.1500015258789</v>
      </c>
      <c r="G19">
        <v>117.6500015258789</v>
      </c>
      <c r="H19">
        <v>120.4499969482422</v>
      </c>
      <c r="I19">
        <v>125.5400009155273</v>
      </c>
      <c r="J19">
        <v>126.7600021362305</v>
      </c>
      <c r="K19">
        <v>128.9499969482422</v>
      </c>
      <c r="L19">
        <v>128.5700073242188</v>
      </c>
      <c r="M19">
        <v>127.2099990844727</v>
      </c>
      <c r="N19">
        <v>129.3500061035156</v>
      </c>
      <c r="O19">
        <v>130.7100067138672</v>
      </c>
      <c r="P19">
        <v>128.7599945068359</v>
      </c>
      <c r="Q19">
        <v>129.6799926757812</v>
      </c>
      <c r="R19">
        <v>130.8999938964844</v>
      </c>
      <c r="S19">
        <v>129.3699951171875</v>
      </c>
      <c r="T19">
        <v>128.0599975585938</v>
      </c>
      <c r="U19">
        <v>128.6100006103516</v>
      </c>
      <c r="V19">
        <v>129.5299987792969</v>
      </c>
      <c r="W19">
        <v>129.3899993896484</v>
      </c>
      <c r="X19">
        <v>129.5399932861328</v>
      </c>
      <c r="Y19">
        <v>130.4799957275391</v>
      </c>
      <c r="Z19">
        <v>131.8399963378906</v>
      </c>
      <c r="AA19">
        <v>128.4499969482422</v>
      </c>
      <c r="AB19">
        <v>131.4799957275391</v>
      </c>
      <c r="AC19">
        <v>136.75</v>
      </c>
      <c r="AD19">
        <v>134.4799957275391</v>
      </c>
      <c r="AE19">
        <v>132.1799926757812</v>
      </c>
      <c r="AF19">
        <v>127</v>
      </c>
      <c r="AG19">
        <v>128.2599945068359</v>
      </c>
      <c r="AH19">
        <v>126.5899963378906</v>
      </c>
      <c r="AI19">
        <v>131.7100067138672</v>
      </c>
      <c r="AJ19">
        <v>131.9100036621094</v>
      </c>
      <c r="AK19">
        <v>131.0399932861328</v>
      </c>
      <c r="AL19">
        <v>131.4199981689453</v>
      </c>
      <c r="AM19">
        <v>124.0400009155273</v>
      </c>
      <c r="AN19">
        <v>118.3899993896484</v>
      </c>
      <c r="AO19">
        <v>118.6600036621094</v>
      </c>
      <c r="AP19">
        <v>118.1699981689453</v>
      </c>
      <c r="AQ19">
        <v>119.1699981689453</v>
      </c>
      <c r="AR19">
        <v>112.7900009155273</v>
      </c>
      <c r="AS19">
        <v>112.4000015258789</v>
      </c>
      <c r="AT19">
        <v>114.4000015258789</v>
      </c>
      <c r="AU19">
        <v>111.9599990844727</v>
      </c>
      <c r="AV19">
        <v>112.3300018310547</v>
      </c>
      <c r="AW19">
        <v>115.0400009155273</v>
      </c>
      <c r="AX19">
        <v>113.1600036621094</v>
      </c>
      <c r="AY19">
        <v>113.5</v>
      </c>
      <c r="AZ19">
        <v>114.0699996948242</v>
      </c>
      <c r="BA19">
        <v>116.0199966430664</v>
      </c>
      <c r="BB19">
        <v>113.3000030517578</v>
      </c>
      <c r="BC19">
        <v>114.0199966430664</v>
      </c>
      <c r="BD19">
        <v>114.4300003051758</v>
      </c>
      <c r="BE19">
        <v>112.1600036621094</v>
      </c>
      <c r="BF19">
        <v>113.1900024414062</v>
      </c>
      <c r="BG19">
        <v>116.1900024414062</v>
      </c>
      <c r="BH19">
        <v>116.3000030517578</v>
      </c>
      <c r="BI19">
        <v>118.9700012207031</v>
      </c>
    </row>
    <row r="20" spans="1:61">
      <c r="A20" t="s">
        <v>19</v>
      </c>
      <c r="B20">
        <v>208.9199981689453</v>
      </c>
      <c r="C20">
        <v>205.9900054931641</v>
      </c>
      <c r="D20">
        <v>199.9499969482422</v>
      </c>
      <c r="E20">
        <v>203.1600036621094</v>
      </c>
      <c r="F20">
        <v>197.7400054931641</v>
      </c>
      <c r="G20">
        <v>200.6199951171875</v>
      </c>
      <c r="H20">
        <v>202.1900024414062</v>
      </c>
      <c r="I20">
        <v>200.1399993896484</v>
      </c>
      <c r="J20">
        <v>205.6100006103516</v>
      </c>
      <c r="K20">
        <v>209.2299957275391</v>
      </c>
      <c r="L20">
        <v>207.9299926757812</v>
      </c>
      <c r="M20">
        <v>202.9499969482422</v>
      </c>
      <c r="N20">
        <v>201.8200073242188</v>
      </c>
      <c r="O20">
        <v>208.4499969482422</v>
      </c>
      <c r="P20">
        <v>206.6300048828125</v>
      </c>
      <c r="Q20">
        <v>206.2799987792969</v>
      </c>
      <c r="R20">
        <v>207.9400024414062</v>
      </c>
      <c r="S20">
        <v>207.1300048828125</v>
      </c>
      <c r="T20">
        <v>203.8899993896484</v>
      </c>
      <c r="U20">
        <v>208.8699951171875</v>
      </c>
      <c r="V20">
        <v>210.6499938964844</v>
      </c>
      <c r="W20">
        <v>209.8300018310547</v>
      </c>
      <c r="X20">
        <v>209.1499938964844</v>
      </c>
      <c r="Y20">
        <v>212.5500030517578</v>
      </c>
      <c r="Z20">
        <v>221.5599975585938</v>
      </c>
      <c r="AA20">
        <v>214.3500061035156</v>
      </c>
      <c r="AB20">
        <v>216.7799987792969</v>
      </c>
      <c r="AC20">
        <v>218.1199951171875</v>
      </c>
      <c r="AD20">
        <v>220.7700042724609</v>
      </c>
      <c r="AE20">
        <v>221.0700073242188</v>
      </c>
      <c r="AF20">
        <v>221.5</v>
      </c>
      <c r="AG20">
        <v>218.5</v>
      </c>
      <c r="AH20">
        <v>216.6499938964844</v>
      </c>
      <c r="AI20">
        <v>216.0399932861328</v>
      </c>
      <c r="AJ20">
        <v>222.6699981689453</v>
      </c>
      <c r="AK20">
        <v>224.5099945068359</v>
      </c>
      <c r="AL20">
        <v>220.8300018310547</v>
      </c>
      <c r="AM20">
        <v>212.5</v>
      </c>
      <c r="AN20">
        <v>210.7299957275391</v>
      </c>
      <c r="AO20">
        <v>215.4299926757812</v>
      </c>
      <c r="AP20">
        <v>217.1499938964844</v>
      </c>
      <c r="AQ20">
        <v>217.3600006103516</v>
      </c>
      <c r="AR20">
        <v>216.1699981689453</v>
      </c>
      <c r="AS20">
        <v>216.0099945068359</v>
      </c>
      <c r="AT20">
        <v>219.0500030517578</v>
      </c>
      <c r="AU20">
        <v>215.5</v>
      </c>
      <c r="AV20">
        <v>219.0700073242188</v>
      </c>
      <c r="AW20">
        <v>225.3600006103516</v>
      </c>
      <c r="AX20">
        <v>227.5299987792969</v>
      </c>
      <c r="AY20">
        <v>226.3600006103516</v>
      </c>
      <c r="AZ20">
        <v>227.6000061035156</v>
      </c>
      <c r="BA20">
        <v>228.6900024414062</v>
      </c>
      <c r="BB20">
        <v>227.0700073242188</v>
      </c>
      <c r="BC20">
        <v>225.8800048828125</v>
      </c>
      <c r="BD20">
        <v>222.8200073242188</v>
      </c>
      <c r="BE20">
        <v>219.8800048828125</v>
      </c>
      <c r="BF20">
        <v>223.5899963378906</v>
      </c>
      <c r="BG20">
        <v>222.8899993896484</v>
      </c>
      <c r="BH20">
        <v>222.1499938964844</v>
      </c>
      <c r="BI20">
        <v>219.2299957275391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2026-10-08T18:06:07Z</dcterms:created>
  <dcterms:modified xsi:type="dcterms:W3CDTF">2026-10-08T18:06:07Z</dcterms:modified>
</cp:coreProperties>
</file>