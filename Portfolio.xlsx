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Позиции!$A$4:$P$8</definedName>
    <definedName name="_xlnm._FilterDatabase" localSheetId="4" hidden="1">Скрин!$A$4:$Q$44</definedName>
  </definedNames>
  <calcPr calcId="124519" fullCalcOnLoad="1"/>
</workbook>
</file>

<file path=xl/sharedStrings.xml><?xml version="1.0" encoding="utf-8"?>
<sst xmlns="http://schemas.openxmlformats.org/spreadsheetml/2006/main" count="349" uniqueCount="226">
  <si>
    <t>DELL</t>
  </si>
  <si>
    <t>MU</t>
  </si>
  <si>
    <t>SNDK</t>
  </si>
  <si>
    <t>WDC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</si>
  <si>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</si>
  <si>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</si>
  <si>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</si>
  <si>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</si>
  <si>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</si>
  <si>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</si>
  <si>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</si>
  <si>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</si>
  <si>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</si>
  <si>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</si>
  <si>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</si>
  <si>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</si>
  <si>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</si>
  <si>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</si>
  <si>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</si>
  <si>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</si>
  <si>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</si>
  <si>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</si>
  <si>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</si>
  <si>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</si>
  <si>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</si>
  <si>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</si>
  <si>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</si>
  <si>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</si>
  <si>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</si>
  <si>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</si>
  <si>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</si>
  <si>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</si>
  <si>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</si>
  <si>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</si>
  <si>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</si>
  <si>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</si>
  <si>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</si>
  <si>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</si>
  <si>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</si>
  <si>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</si>
  <si>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</si>
  <si>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</si>
  <si>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</si>
  <si>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</si>
  <si>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</si>
  <si>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</si>
  <si>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</si>
  <si>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</si>
  <si>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</si>
  <si>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</si>
  <si>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</si>
  <si>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</si>
  <si>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</si>
  <si>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</si>
  <si>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</si>
  <si>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</si>
  <si>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</si>
  <si>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</si>
  <si>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</si>
  <si>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</si>
  <si>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</si>
  <si>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</si>
  <si>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</si>
  <si>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</si>
  <si>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</si>
  <si>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</si>
  <si>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</si>
  <si>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</si>
  <si>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VLO</t>
  </si>
  <si>
    <t>Valero Energy</t>
  </si>
  <si>
    <t>Energy</t>
  </si>
  <si>
    <t>MPC</t>
  </si>
  <si>
    <t>Marathon Petroleum</t>
  </si>
  <si>
    <t>OXY</t>
  </si>
  <si>
    <t>Occidental Petroleum</t>
  </si>
  <si>
    <t>HPE</t>
  </si>
  <si>
    <t>Hewlett Packard Enterprise</t>
  </si>
  <si>
    <t>EXPE</t>
  </si>
  <si>
    <t>Expedia Group</t>
  </si>
  <si>
    <t>Consumer Discretionary</t>
  </si>
  <si>
    <t>EOG</t>
  </si>
  <si>
    <t>EOG Resources</t>
  </si>
  <si>
    <t>ALL</t>
  </si>
  <si>
    <t>Allstate</t>
  </si>
  <si>
    <t>Financials</t>
  </si>
  <si>
    <t>INCY</t>
  </si>
  <si>
    <t>Incyte</t>
  </si>
  <si>
    <t>Health Care</t>
  </si>
  <si>
    <t>NTAP</t>
  </si>
  <si>
    <t>NetApp</t>
  </si>
  <si>
    <t>APA</t>
  </si>
  <si>
    <t>APA Corporation</t>
  </si>
  <si>
    <t>TER</t>
  </si>
  <si>
    <t>Teradyne</t>
  </si>
  <si>
    <t>HUM</t>
  </si>
  <si>
    <t>Humana</t>
  </si>
  <si>
    <t>NVDA</t>
  </si>
  <si>
    <t>Nvidia</t>
  </si>
  <si>
    <t>PSX</t>
  </si>
  <si>
    <t>Phillips 66</t>
  </si>
  <si>
    <t>GS</t>
  </si>
  <si>
    <t>Goldman Sachs</t>
  </si>
  <si>
    <t>FANG</t>
  </si>
  <si>
    <t>Diamondback Energy</t>
  </si>
  <si>
    <t>MS</t>
  </si>
  <si>
    <t>Morgan Stanley</t>
  </si>
  <si>
    <t>GOOGL</t>
  </si>
  <si>
    <t>Alphabet Inc. (Class A)</t>
  </si>
  <si>
    <t>Communication Services</t>
  </si>
  <si>
    <t>TRV</t>
  </si>
  <si>
    <t>Travelers Companies (The)</t>
  </si>
  <si>
    <t>CVX</t>
  </si>
  <si>
    <t>Chevron Corporation</t>
  </si>
  <si>
    <t>GOOG</t>
  </si>
  <si>
    <t>Alphabet Inc. (Class C)</t>
  </si>
  <si>
    <t>CNC</t>
  </si>
  <si>
    <t>Centene Corporation</t>
  </si>
  <si>
    <t>CF</t>
  </si>
  <si>
    <t>CF Industries</t>
  </si>
  <si>
    <t>Materials</t>
  </si>
  <si>
    <t>FTNT</t>
  </si>
  <si>
    <t>Fortinet</t>
  </si>
  <si>
    <t>BKNG</t>
  </si>
  <si>
    <t>Booking Holdings</t>
  </si>
  <si>
    <t>SCHW</t>
  </si>
  <si>
    <t>Charles Schwab Corporation</t>
  </si>
  <si>
    <t>CINF</t>
  </si>
  <si>
    <t>Cincinnati Financial</t>
  </si>
  <si>
    <t>BMY</t>
  </si>
  <si>
    <t>Bristol Myers Squibb</t>
  </si>
  <si>
    <t>ZBRA</t>
  </si>
  <si>
    <t>Zebra Technologies</t>
  </si>
  <si>
    <t>DVN</t>
  </si>
  <si>
    <t>Devon Energy</t>
  </si>
  <si>
    <t>RJF</t>
  </si>
  <si>
    <t>Raymond James Financial</t>
  </si>
  <si>
    <t>MO</t>
  </si>
  <si>
    <t>Altria</t>
  </si>
  <si>
    <t>Consumer Staples</t>
  </si>
  <si>
    <t>LITE</t>
  </si>
  <si>
    <t>Lumentum</t>
  </si>
  <si>
    <t>SWK</t>
  </si>
  <si>
    <t>Stanley Black &amp; Decker</t>
  </si>
  <si>
    <t>Industrials</t>
  </si>
  <si>
    <t>TROW</t>
  </si>
  <si>
    <t>T. Rowe Price</t>
  </si>
  <si>
    <t>COP</t>
  </si>
  <si>
    <t>ConocoPhillips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</si>
  <si>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</si>
  <si>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</si>
  <si>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</si>
  <si>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</si>
  <si>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</si>
  <si>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</si>
  <si>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</si>
  <si>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</si>
  <si>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</si>
  <si>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net_margin, net_debt_ebitda</t>
  </si>
  <si>
    <t>growth</t>
  </si>
  <si>
    <t>revenue_growth, earnings_growth</t>
  </si>
  <si>
    <t>momentum</t>
  </si>
  <si>
    <t>mom_3m, mom_6m, mom_12m_1m, above_ma200, rsi_centered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</si>
  <si>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</si>
  <si>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</si>
  <si>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</si>
  <si>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</si>
  <si>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</si>
  <si>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</si>
  <si>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2026-08-29 03:44 UTC · данные на 2026-08-28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</si>
  <si>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</si>
  <si>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</si>
  <si>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</si>
  <si>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</si>
  <si>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—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</si>
  <si>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</si>
  <si>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</si>
  <si>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</si>
  <si>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</si>
  <si>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</si>
  <si>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</si>
  <si>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</si>
  <si>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</si>
  <si>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</si>
  <si>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</si>
  <si>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</si>
  <si>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</si>
  <si>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</si>
  <si>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</si>
  <si>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</si>
  <si>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</si>
  <si>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</si>
  <si>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</si>
  <si>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</si>
  <si>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</si>
  <si>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</si>
  <si>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2026-08-29 03:44 UTC</t>
  </si>
  <si>
    <t>Дата данных</t>
  </si>
  <si>
    <t>Тикеров во вселенной</t>
  </si>
  <si>
    <t>503</t>
  </si>
  <si>
    <t>Прошли фильтры</t>
  </si>
  <si>
    <t>499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</si>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</sst>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D64545"/>
      <name val="Arial"/>
      <family val="2"/>
    </font>
    <font>
      <b/>
      <sz val="18"/>
      <color rgb="FF0F9960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165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</c:f>
              <c:strCache>
                <c:ptCount val="1"/>
                <c:pt idx="0">
                  <c:v>Information Technology</c:v>
                </c:pt>
              </c:strCache>
            </c:strRef>
          </c:cat>
          <c:val>
            <c:numRef>
              <c:f>Сводка!$C$33</c:f>
              <c:numCache>
                <c:formatCode>General</c:formatCode>
                <c:ptCount val="1"/>
                <c:pt idx="0">
                  <c:v>1901.58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Капитал!$A$5:$A$9</c:f>
              <c:strCache>
                <c:ptCount val="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</c:strCache>
            </c:strRef>
          </c:cat>
          <c:val>
            <c:numRef>
              <c:f>Капитал!$D$5:$D$9</c:f>
              <c:numCache>
                <c:formatCode>General</c:formatCode>
                <c:ptCount val="5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Капитал!$A$5:$A$9</c:f>
              <c:strCache>
                <c:ptCount val="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</c:strCache>
            </c:strRef>
          </c:cat>
          <c:val>
            <c:numRef>
              <c:f>Капитал!$F$5:$F$9</c:f>
              <c:numCache>
                <c:formatCode>General</c:formatCode>
                <c:ptCount val="5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Капитал!$A$5:$A$9</c:f>
              <c:strCache>
                <c:ptCount val="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</c:strCache>
            </c:strRef>
          </c:cat>
          <c:val>
            <c:numRef>
              <c:f>Капитал!$D$5:$D$9</c:f>
              <c:numCache>
                <c:formatCode>General</c:formatCode>
                <c:ptCount val="5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Капитал!$A$5:$A$9</c:f>
              <c:strCache>
                <c:ptCount val="5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</c:strCache>
            </c:strRef>
          </c:cat>
          <c:val>
            <c:numRef>
              <c:f>Капитал!$F$5:$F$9</c:f>
              <c:numCache>
                <c:formatCode>General</c:formatCode>
                <c:ptCount val="5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3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167</v>
      </c>
    </row>
    <row r="3" spans="2:8">
      <c r="B3" s="2" t="s">
        <v>168</v>
      </c>
    </row>
    <row r="5" spans="2:8">
      <c r="B5" s="3" t="s">
        <v>48</v>
      </c>
      <c r="D5" s="3" t="s">
        <v>169</v>
      </c>
      <c r="F5" s="3" t="s">
        <v>170</v>
      </c>
      <c r="H5" s="3" t="s">
        <v>171</v>
      </c>
    </row>
    <row r="6" spans="2:8">
      <c r="B6" s="4">
        <v>9994.27</v>
      </c>
      <c r="D6" s="5">
        <v>-0.0005729999999999347</v>
      </c>
      <c r="F6" s="6">
        <v>0.007702000000000098</v>
      </c>
      <c r="H6" s="5">
        <v>-0.003416253428967231</v>
      </c>
    </row>
    <row r="8" spans="2:8">
      <c r="B8" s="3" t="s">
        <v>172</v>
      </c>
      <c r="D8" s="3" t="s">
        <v>174</v>
      </c>
      <c r="F8" s="3" t="s">
        <v>175</v>
      </c>
      <c r="H8" s="3" t="s">
        <v>176</v>
      </c>
    </row>
    <row r="9" spans="2:8">
      <c r="B9" s="7" t="s">
        <v>173</v>
      </c>
      <c r="D9" s="7">
        <v>0</v>
      </c>
      <c r="F9" s="7" t="s">
        <v>173</v>
      </c>
      <c r="H9" s="7">
        <v>4</v>
      </c>
    </row>
    <row r="12" spans="2:8">
      <c r="B12" s="8" t="s">
        <v>177</v>
      </c>
    </row>
    <row r="13" spans="2:8">
      <c r="B13" s="9" t="s">
        <v>46</v>
      </c>
      <c r="C13" s="10">
        <v>8092.69</v>
      </c>
    </row>
    <row r="14" spans="2:8">
      <c r="B14" s="9" t="s">
        <v>47</v>
      </c>
      <c r="C14" s="10">
        <v>1901.58</v>
      </c>
    </row>
    <row r="15" spans="2:8">
      <c r="B15" s="9" t="s">
        <v>48</v>
      </c>
      <c r="C15" s="10">
        <v>9994.27</v>
      </c>
    </row>
    <row r="16" spans="2:8">
      <c r="B16" s="9" t="s">
        <v>178</v>
      </c>
      <c r="C16" s="10">
        <v>10000</v>
      </c>
    </row>
    <row r="17" spans="1:3">
      <c r="B17" s="9" t="s">
        <v>179</v>
      </c>
      <c r="C17" s="11">
        <v>21</v>
      </c>
    </row>
    <row r="18" spans="1:3">
      <c r="B18" s="9" t="s">
        <v>180</v>
      </c>
      <c r="C18" s="11">
        <v>16</v>
      </c>
    </row>
    <row r="19" spans="1:3">
      <c r="B19" s="9" t="s">
        <v>181</v>
      </c>
      <c r="C19" s="11">
        <v>1</v>
      </c>
    </row>
    <row r="20" spans="1:3">
      <c r="B20" s="9" t="s">
        <v>182</v>
      </c>
      <c r="C20" s="11">
        <v>21</v>
      </c>
    </row>
    <row r="21" spans="1:3">
      <c r="B21" s="9" t="s">
        <v>183</v>
      </c>
      <c r="C21" s="9" t="s">
        <v>173</v>
      </c>
    </row>
    <row r="22" spans="1:3">
      <c r="B22" s="9" t="s">
        <v>184</v>
      </c>
      <c r="C22" s="9" t="s">
        <v>173</v>
      </c>
    </row>
    <row r="23" spans="1:3">
      <c r="B23" s="9" t="s">
        <v>185</v>
      </c>
      <c r="C23" s="9" t="s">
        <v>173</v>
      </c>
    </row>
    <row r="24" spans="1:3">
      <c r="B24" s="9" t="s">
        <v>186</v>
      </c>
      <c r="C24" s="9" t="s">
        <v>173</v>
      </c>
    </row>
    <row r="25" spans="1:3">
      <c r="B25" s="9" t="s">
        <v>187</v>
      </c>
      <c r="C25" s="9" t="s">
        <v>173</v>
      </c>
    </row>
    <row r="26" spans="1:3">
      <c r="B26" s="9" t="s">
        <v>188</v>
      </c>
      <c r="C26" s="11">
        <v>5</v>
      </c>
    </row>
    <row r="28" spans="1:3">
      <c r="B28" s="12" t="s">
        <v>189</v>
      </c>
      <c r="C28" s="10">
        <f>C13+IFERROR(SUM('Позиции'!I5:I200),0)</f>
        <v>9994.27</v>
      </c>
    </row>
    <row r="29" spans="1:3">
      <c r="B29" s="13" t="s">
        <v>190</v>
      </c>
    </row>
    <row r="31" spans="1:3">
      <c r="B31" s="8" t="s">
        <v>191</v>
      </c>
    </row>
    <row r="32" spans="1:3" ht="30" customHeight="1">
      <c r="A32" s="14" t="s">
        <v>8</v>
      </c>
      <c r="B32" s="14" t="s">
        <v>14</v>
      </c>
    </row>
    <row r="33" spans="2:3">
      <c r="B33" s="9" t="s">
        <v>23</v>
      </c>
      <c r="C33" s="10">
        <v>1901.58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4</v>
      </c>
    </row>
    <row r="2" spans="1:16" x14ac:dyDescent="0.25">
      <c r="A2" s="2" t="s">
        <v>5</v>
      </c>
    </row>
    <row r="4" spans="1:16" ht="30" customHeight="1" x14ac:dyDescent="0.25">
      <c r="A4" s="14" t="s">
        <v>6</v>
      </c>
      <c r="B4" s="14" t="s">
        <v>7</v>
      </c>
      <c r="C4" s="14" t="s">
        <v>8</v>
      </c>
      <c r="D4" s="14" t="s">
        <v>9</v>
      </c>
      <c r="E4" s="14" t="s">
        <v>10</v>
      </c>
      <c r="F4" s="14" t="s">
        <v>11</v>
      </c>
      <c r="G4" s="14" t="s">
        <v>12</v>
      </c>
      <c r="H4" s="14" t="s">
        <v>13</v>
      </c>
      <c r="I4" s="14" t="s">
        <v>14</v>
      </c>
      <c r="J4" s="14" t="s">
        <v>15</v>
      </c>
      <c r="K4" s="14" t="s">
        <v>16</v>
      </c>
      <c r="L4" s="14" t="s">
        <v>17</v>
      </c>
      <c r="M4" s="14" t="s">
        <v>18</v>
      </c>
      <c r="N4" s="14" t="s">
        <v>19</v>
      </c>
      <c r="O4" s="14" t="s">
        <v>20</v>
      </c>
      <c r="P4" s="14" t="s">
        <v>21</v>
      </c>
    </row>
    <row r="5" spans="1:16" x14ac:dyDescent="0.25">
      <c r="A5" s="9" t="s">
        <v>0</v>
      </c>
      <c r="B5" s="9" t="s">
        <v>22</v>
      </c>
      <c r="C5" s="9" t="s">
        <v>23</v>
      </c>
      <c r="D5" s="15" t="s">
        <v>24</v>
      </c>
      <c r="E5" s="10">
        <v>443.1115</v>
      </c>
      <c r="F5" s="16">
        <v>1.074651</v>
      </c>
      <c r="G5" s="10">
        <v>476.19</v>
      </c>
      <c r="H5" s="17">
        <v>456.24</v>
      </c>
      <c r="I5" s="10">
        <f>F5*H5</f>
        <v>490.29877224</v>
      </c>
      <c r="J5" s="10">
        <f>I5-G5</f>
        <v>14.108772240000008</v>
      </c>
      <c r="K5" s="18">
        <f>IFERROR(J5/G5,0)</f>
        <v>0.029628451332451348</v>
      </c>
      <c r="L5" s="11">
        <v>3</v>
      </c>
      <c r="M5" s="11">
        <f>MAX(0,21-L5)</f>
        <v>18</v>
      </c>
      <c r="N5" s="19">
        <v>2.927623067210654</v>
      </c>
      <c r="O5" s="9" t="s">
        <v>25</v>
      </c>
    </row>
    <row r="6" spans="1:16" x14ac:dyDescent="0.25">
      <c r="A6" s="9" t="s">
        <v>1</v>
      </c>
      <c r="B6" s="9" t="s">
        <v>26</v>
      </c>
      <c r="C6" s="9" t="s">
        <v>23</v>
      </c>
      <c r="D6" s="15" t="s">
        <v>27</v>
      </c>
      <c r="E6" s="10">
        <v>926.2029</v>
      </c>
      <c r="F6" s="16">
        <v>0.5145960000000001</v>
      </c>
      <c r="G6" s="10">
        <v>476.62</v>
      </c>
      <c r="H6" s="17">
        <v>932.86</v>
      </c>
      <c r="I6" s="10">
        <f>F6*H6</f>
        <v>480.04602456000003</v>
      </c>
      <c r="J6" s="10">
        <f>I6-G6</f>
        <v>3.4260245600000303</v>
      </c>
      <c r="K6" s="18">
        <f>IFERROR(J6/G6,0)</f>
        <v>0.007188167848600626</v>
      </c>
      <c r="L6" s="11">
        <v>2</v>
      </c>
      <c r="M6" s="11">
        <f>MAX(0,21-L6)</f>
        <v>19</v>
      </c>
      <c r="N6" s="19">
        <v>1.809956883354321</v>
      </c>
      <c r="O6" s="9" t="s">
        <v>25</v>
      </c>
    </row>
    <row r="7" spans="1:16" x14ac:dyDescent="0.25">
      <c r="A7" s="9" t="s">
        <v>2</v>
      </c>
      <c r="B7" s="9" t="s">
        <v>28</v>
      </c>
      <c r="C7" s="9" t="s">
        <v>23</v>
      </c>
      <c r="D7" s="15" t="s">
        <v>29</v>
      </c>
      <c r="E7" s="10">
        <v>1550.1948</v>
      </c>
      <c r="F7" s="16">
        <v>0.308058</v>
      </c>
      <c r="G7" s="10">
        <v>477.55</v>
      </c>
      <c r="H7" s="17">
        <v>1484.98</v>
      </c>
      <c r="I7" s="10">
        <f>F7*H7</f>
        <v>457.45996884</v>
      </c>
      <c r="J7" s="10">
        <f>I7-G7</f>
        <v>-20.090031160000024</v>
      </c>
      <c r="K7" s="18">
        <f>IFERROR(J7/G7,0)</f>
        <v>-0.04206895855931321</v>
      </c>
      <c r="L7" s="11">
        <v>1</v>
      </c>
      <c r="M7" s="11">
        <f>MAX(0,21-L7)</f>
        <v>20</v>
      </c>
      <c r="N7" s="19">
        <v>1.655247920227722</v>
      </c>
      <c r="O7" s="9" t="s">
        <v>25</v>
      </c>
    </row>
    <row r="8" spans="1:16" x14ac:dyDescent="0.25">
      <c r="A8" s="9" t="s">
        <v>3</v>
      </c>
      <c r="B8" s="9" t="s">
        <v>30</v>
      </c>
      <c r="C8" s="9" t="s">
        <v>23</v>
      </c>
      <c r="D8" s="15" t="s">
        <v>31</v>
      </c>
      <c r="E8" s="10">
        <v>462.5311</v>
      </c>
      <c r="F8" s="16">
        <v>1.031174</v>
      </c>
      <c r="G8" s="10">
        <v>476.95</v>
      </c>
      <c r="H8" s="17">
        <v>459.45</v>
      </c>
      <c r="I8" s="10">
        <f>F8*H8</f>
        <v>473.7728943</v>
      </c>
      <c r="J8" s="10">
        <f>I8-G8</f>
        <v>-3.17710569999997</v>
      </c>
      <c r="K8" s="18">
        <f>IFERROR(J8/G8,0)</f>
        <v>-0.006661297200964399</v>
      </c>
      <c r="L8" s="11">
        <v>0</v>
      </c>
      <c r="M8" s="11">
        <f>MAX(0,21-L8)</f>
        <v>21</v>
      </c>
      <c r="N8" s="19">
        <v>1.135451734784544</v>
      </c>
      <c r="O8" s="9" t="s">
        <v>25</v>
      </c>
    </row>
    <row r="9" spans="1:16" x14ac:dyDescent="0.25">
      <c r="F9" s="12" t="s">
        <v>32</v>
      </c>
      <c r="G9" s="10">
        <f>SUM(G5:G8)</f>
        <v>1907.31</v>
      </c>
      <c r="I9" s="10">
        <f>SUM(I5:I8)</f>
        <v>1901.58</v>
      </c>
      <c r="J9" s="10">
        <f>SUM(J5:J8)</f>
        <v>-5.730000000000018</v>
      </c>
      <c r="K9" s="18">
        <f>IFERROR(J9/G9,0)</f>
        <v>0</v>
      </c>
    </row>
  </sheetData>
  <autoFilter ref="A4:P8"/>
  <conditionalFormatting sqref="K5:K8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8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33</v>
      </c>
    </row>
    <row r="2" spans="1:15">
      <c r="A2" s="2" t="s">
        <v>34</v>
      </c>
    </row>
    <row r="4" spans="1:15" ht="30" customHeight="1">
      <c r="A4" s="14" t="s">
        <v>35</v>
      </c>
      <c r="B4" s="14" t="s">
        <v>6</v>
      </c>
      <c r="C4" s="14" t="s">
        <v>8</v>
      </c>
      <c r="D4" s="14" t="s">
        <v>36</v>
      </c>
      <c r="E4" s="14" t="s">
        <v>10</v>
      </c>
      <c r="F4" s="14" t="s">
        <v>37</v>
      </c>
      <c r="G4" s="14" t="s">
        <v>38</v>
      </c>
      <c r="H4" s="14" t="s">
        <v>11</v>
      </c>
      <c r="I4" s="14" t="s">
        <v>12</v>
      </c>
      <c r="J4" s="14" t="s">
        <v>39</v>
      </c>
      <c r="K4" s="14" t="s">
        <v>15</v>
      </c>
      <c r="L4" s="14" t="s">
        <v>16</v>
      </c>
      <c r="M4" s="14" t="s">
        <v>40</v>
      </c>
      <c r="N4" s="14" t="s">
        <v>19</v>
      </c>
      <c r="O4" s="14" t="s">
        <v>41</v>
      </c>
    </row>
    <row r="5" spans="1:15">
      <c r="A5" s="13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43</v>
      </c>
    </row>
    <row r="2" spans="1:6">
      <c r="A2" s="2" t="s">
        <v>44</v>
      </c>
    </row>
    <row r="4" spans="1:6" ht="30" customHeight="1">
      <c r="A4" s="14" t="s">
        <v>45</v>
      </c>
      <c r="B4" s="14" t="s">
        <v>46</v>
      </c>
      <c r="C4" s="14" t="s">
        <v>47</v>
      </c>
      <c r="D4" s="14" t="s">
        <v>48</v>
      </c>
      <c r="E4" s="14" t="s">
        <v>49</v>
      </c>
      <c r="F4" s="14" t="s">
        <v>50</v>
      </c>
    </row>
    <row r="5" spans="1:6">
      <c r="A5" s="15" t="s">
        <v>51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5" t="s">
        <v>24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5" t="s">
        <v>27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5" t="s">
        <v>29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5" t="s">
        <v>31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0" width="12.7109375" customWidth="1"/>
    <col min="11" max="13" width="9.7109375" customWidth="1"/>
    <col min="14" max="14" width="13.7109375" customWidth="1"/>
    <col min="15" max="15" width="12.7109375" customWidth="1"/>
    <col min="16" max="16" width="8.7109375" customWidth="1"/>
    <col min="17" max="17" width="24.7109375" customWidth="1"/>
  </cols>
  <sheetData>
    <row r="1" spans="1:17" x14ac:dyDescent="0.25">
      <c r="A1" s="1" t="s">
        <v>52</v>
      </c>
    </row>
    <row r="2" spans="1:17" x14ac:dyDescent="0.25">
      <c r="A2" s="2" t="s">
        <v>53</v>
      </c>
    </row>
    <row r="4" spans="1:17" ht="30" customHeight="1" x14ac:dyDescent="0.25">
      <c r="A4" s="14" t="s">
        <v>35</v>
      </c>
      <c r="B4" s="14" t="s">
        <v>6</v>
      </c>
      <c r="C4" s="14" t="s">
        <v>7</v>
      </c>
      <c r="D4" s="14" t="s">
        <v>8</v>
      </c>
      <c r="E4" s="14" t="s">
        <v>54</v>
      </c>
      <c r="F4" s="14" t="s">
        <v>55</v>
      </c>
      <c r="G4" s="14" t="s">
        <v>56</v>
      </c>
      <c r="H4" s="14" t="s">
        <v>57</v>
      </c>
      <c r="I4" s="14" t="s">
        <v>58</v>
      </c>
      <c r="J4" s="14" t="s">
        <v>59</v>
      </c>
      <c r="K4" s="14" t="s">
        <v>60</v>
      </c>
      <c r="L4" s="14" t="s">
        <v>61</v>
      </c>
      <c r="M4" s="14" t="s">
        <v>62</v>
      </c>
      <c r="N4" s="14" t="s">
        <v>63</v>
      </c>
      <c r="O4" s="14" t="s">
        <v>64</v>
      </c>
      <c r="P4" s="14" t="s">
        <v>65</v>
      </c>
      <c r="Q4" s="14" t="s">
        <v>66</v>
      </c>
    </row>
    <row r="5" spans="1:17" x14ac:dyDescent="0.25">
      <c r="A5" s="11">
        <v>1</v>
      </c>
      <c r="B5" s="9" t="s">
        <v>1</v>
      </c>
      <c r="C5" s="9" t="s">
        <v>26</v>
      </c>
      <c r="D5" s="9" t="s">
        <v>23</v>
      </c>
      <c r="E5" s="10">
        <v>932.8599853515625</v>
      </c>
      <c r="F5" s="16">
        <v>1.797784415791333</v>
      </c>
      <c r="G5" s="19">
        <v>0.1411051627135557</v>
      </c>
      <c r="H5" s="19">
        <v>1.679910500336321</v>
      </c>
      <c r="I5" s="19">
        <v>4.206596031118561</v>
      </c>
      <c r="J5" s="19">
        <v>2.348286124084672</v>
      </c>
      <c r="K5" s="19">
        <v>20.560751</v>
      </c>
      <c r="L5" s="19">
        <v>10.204899</v>
      </c>
      <c r="M5" s="20">
        <v>0.66638</v>
      </c>
      <c r="N5" s="20">
        <v>3.457</v>
      </c>
      <c r="O5" s="20">
        <v>1.263490084887664</v>
      </c>
      <c r="P5" s="11">
        <v>50.68513863125375</v>
      </c>
      <c r="Q5" s="9" t="s">
        <v>67</v>
      </c>
    </row>
    <row r="6" spans="1:17" x14ac:dyDescent="0.25">
      <c r="A6" s="11">
        <v>2</v>
      </c>
      <c r="B6" s="9" t="s">
        <v>2</v>
      </c>
      <c r="C6" s="9" t="s">
        <v>28</v>
      </c>
      <c r="D6" s="9" t="s">
        <v>23</v>
      </c>
      <c r="E6" s="10">
        <v>1484.97998046875</v>
      </c>
      <c r="F6" s="16">
        <v>1.654426275754993</v>
      </c>
      <c r="G6" s="19">
        <v>-0.297947721659126</v>
      </c>
      <c r="H6" s="19">
        <v>1.878861151632597</v>
      </c>
      <c r="I6" s="19">
        <v>4.026096567149331</v>
      </c>
      <c r="J6" s="19">
        <v>2.233936064240608</v>
      </c>
      <c r="K6" s="19">
        <v>20.248442</v>
      </c>
      <c r="L6" s="19">
        <v>14.137921</v>
      </c>
      <c r="M6" s="20">
        <v>0.9164</v>
      </c>
      <c r="N6" s="20">
        <v>3.716</v>
      </c>
      <c r="O6" s="20">
        <v>1.337226162656543</v>
      </c>
      <c r="P6" s="11">
        <v>49.32350741998839</v>
      </c>
      <c r="Q6" s="9" t="s">
        <v>67</v>
      </c>
    </row>
    <row r="7" spans="1:17" x14ac:dyDescent="0.25">
      <c r="A7" s="11">
        <v>3</v>
      </c>
      <c r="B7" s="9" t="s">
        <v>3</v>
      </c>
      <c r="C7" s="9" t="s">
        <v>30</v>
      </c>
      <c r="D7" s="9" t="s">
        <v>23</v>
      </c>
      <c r="E7" s="10">
        <v>459.4500122070312</v>
      </c>
      <c r="F7" s="16">
        <v>1.15931561725163</v>
      </c>
      <c r="G7" s="19">
        <v>-0.6552990140462744</v>
      </c>
      <c r="H7" s="19">
        <v>1.918440052485617</v>
      </c>
      <c r="I7" s="19">
        <v>3.032907322180939</v>
      </c>
      <c r="J7" s="19">
        <v>1.404530700056557</v>
      </c>
      <c r="K7" s="19">
        <v>17.067032</v>
      </c>
      <c r="L7" s="19">
        <v>0</v>
      </c>
      <c r="M7" s="20">
        <v>1.30853</v>
      </c>
      <c r="N7" s="20">
        <v>0.438</v>
      </c>
      <c r="O7" s="20">
        <v>0.6438674367834341</v>
      </c>
      <c r="P7" s="11">
        <v>45.19088940689799</v>
      </c>
      <c r="Q7" s="9" t="s">
        <v>67</v>
      </c>
    </row>
    <row r="8" spans="1:17" x14ac:dyDescent="0.25">
      <c r="A8" s="11">
        <v>4</v>
      </c>
      <c r="B8" s="9" t="s">
        <v>68</v>
      </c>
      <c r="C8" s="9" t="s">
        <v>69</v>
      </c>
      <c r="D8" s="9" t="s">
        <v>70</v>
      </c>
      <c r="E8" s="10">
        <v>352.3599853515625</v>
      </c>
      <c r="F8" s="16">
        <v>1.098454348098604</v>
      </c>
      <c r="G8" s="19">
        <v>0.72925464828006</v>
      </c>
      <c r="H8" s="19">
        <v>-0.3048721710887977</v>
      </c>
      <c r="I8" s="19">
        <v>2.983550662811328</v>
      </c>
      <c r="J8" s="19">
        <v>1.694544656550286</v>
      </c>
      <c r="K8" s="19">
        <v>14.4347105</v>
      </c>
      <c r="L8" s="19">
        <v>3.9847977</v>
      </c>
      <c r="M8" s="20">
        <v>0.27637</v>
      </c>
      <c r="N8" s="20">
        <v>0.517</v>
      </c>
      <c r="O8" s="20">
        <v>0.7367197024957652</v>
      </c>
      <c r="P8" s="11">
        <v>68.0131238164806</v>
      </c>
      <c r="Q8" s="9" t="s">
        <v>67</v>
      </c>
    </row>
    <row r="9" spans="1:17" x14ac:dyDescent="0.25">
      <c r="A9" s="11">
        <v>5</v>
      </c>
      <c r="B9" s="9" t="s">
        <v>71</v>
      </c>
      <c r="C9" s="9" t="s">
        <v>72</v>
      </c>
      <c r="D9" s="9" t="s">
        <v>70</v>
      </c>
      <c r="E9" s="10">
        <v>368.8299865722656</v>
      </c>
      <c r="F9" s="16">
        <v>0.9607631975098783</v>
      </c>
      <c r="G9" s="19">
        <v>0.7230916879797831</v>
      </c>
      <c r="H9" s="19">
        <v>-0.385889491053161</v>
      </c>
      <c r="I9" s="19">
        <v>2.543797486452658</v>
      </c>
      <c r="J9" s="19">
        <v>1.529128136371116</v>
      </c>
      <c r="K9" s="19">
        <v>12.56133</v>
      </c>
      <c r="L9" s="19">
        <v>5.3778367</v>
      </c>
      <c r="M9" s="20">
        <v>0.42099</v>
      </c>
      <c r="N9" s="20">
        <v>0.537</v>
      </c>
      <c r="O9" s="20">
        <v>0.8730204731174731</v>
      </c>
      <c r="P9" s="11">
        <v>71.60800539523845</v>
      </c>
      <c r="Q9" s="9" t="s">
        <v>67</v>
      </c>
    </row>
    <row r="10" spans="1:17" x14ac:dyDescent="0.25">
      <c r="A10" s="11">
        <v>6</v>
      </c>
      <c r="B10" s="9" t="s">
        <v>73</v>
      </c>
      <c r="C10" s="9" t="s">
        <v>74</v>
      </c>
      <c r="D10" s="9" t="s">
        <v>70</v>
      </c>
      <c r="E10" s="10">
        <v>59.09999847412109</v>
      </c>
      <c r="F10" s="16">
        <v>0.9233041122157448</v>
      </c>
      <c r="G10" s="19">
        <v>0.6355114639003794</v>
      </c>
      <c r="H10" s="19">
        <v>0.6239334098844196</v>
      </c>
      <c r="I10" s="19">
        <v>3.304463564487919</v>
      </c>
      <c r="J10" s="19">
        <v>0.2699926196711274</v>
      </c>
      <c r="K10" s="19">
        <v>18.105423</v>
      </c>
      <c r="L10" s="19">
        <v>1.7959902</v>
      </c>
      <c r="M10" s="20">
        <v>0.10629</v>
      </c>
      <c r="N10" s="20">
        <v>0.534</v>
      </c>
      <c r="O10" s="20">
        <v>0.1238674065532424</v>
      </c>
      <c r="P10" s="11">
        <v>55.45107029702634</v>
      </c>
      <c r="Q10" s="9" t="s">
        <v>67</v>
      </c>
    </row>
    <row r="11" spans="1:17" x14ac:dyDescent="0.25">
      <c r="A11" s="11">
        <v>7</v>
      </c>
      <c r="B11" s="9" t="s">
        <v>75</v>
      </c>
      <c r="C11" s="9" t="s">
        <v>76</v>
      </c>
      <c r="D11" s="9" t="s">
        <v>23</v>
      </c>
      <c r="E11" s="10">
        <v>52.31000137329102</v>
      </c>
      <c r="F11" s="16">
        <v>0.858013206260223</v>
      </c>
      <c r="G11" s="19">
        <v>0.304959259686968</v>
      </c>
      <c r="H11" s="19">
        <v>-0.604597401341887</v>
      </c>
      <c r="I11" s="19">
        <v>1.463737124114395</v>
      </c>
      <c r="J11" s="19">
        <v>2.32704736690815</v>
      </c>
      <c r="K11" s="19">
        <v>48.999996</v>
      </c>
      <c r="L11" s="19">
        <v>2.743159</v>
      </c>
      <c r="M11" s="20">
        <v>0.06315</v>
      </c>
      <c r="N11" s="20">
        <v>0.4</v>
      </c>
      <c r="O11" s="20">
        <v>1.459307704875608</v>
      </c>
      <c r="P11" s="11">
        <v>49.42839765492122</v>
      </c>
      <c r="Q11" s="9" t="s">
        <v>67</v>
      </c>
    </row>
    <row r="12" spans="1:17" x14ac:dyDescent="0.25">
      <c r="A12" s="11">
        <v>8</v>
      </c>
      <c r="B12" s="9" t="s">
        <v>77</v>
      </c>
      <c r="C12" s="9" t="s">
        <v>78</v>
      </c>
      <c r="D12" s="9" t="s">
        <v>79</v>
      </c>
      <c r="E12" s="10">
        <v>329.4400024414062</v>
      </c>
      <c r="F12" s="16">
        <v>0.740994503335056</v>
      </c>
      <c r="G12" s="19">
        <v>-0.1074817459894137</v>
      </c>
      <c r="H12" s="19">
        <v>1.241839716939916</v>
      </c>
      <c r="I12" s="19">
        <v>0.6713684345102916</v>
      </c>
      <c r="J12" s="19">
        <v>1.206912775734525</v>
      </c>
      <c r="K12" s="19">
        <v>20.24627</v>
      </c>
      <c r="L12" s="19">
        <v>33.66005</v>
      </c>
      <c r="M12" s="20">
        <v>0.89489</v>
      </c>
      <c r="N12" s="20">
        <v>0.14</v>
      </c>
      <c r="O12" s="20">
        <v>0.5361519933949572</v>
      </c>
      <c r="P12" s="11">
        <v>59.81470138462173</v>
      </c>
      <c r="Q12" s="9" t="s">
        <v>67</v>
      </c>
    </row>
    <row r="13" spans="1:17" x14ac:dyDescent="0.25">
      <c r="A13" s="11">
        <v>9</v>
      </c>
      <c r="B13" s="9" t="s">
        <v>80</v>
      </c>
      <c r="C13" s="9" t="s">
        <v>81</v>
      </c>
      <c r="D13" s="9" t="s">
        <v>70</v>
      </c>
      <c r="E13" s="10">
        <v>143.3500061035156</v>
      </c>
      <c r="F13" s="16">
        <v>0.7070619988846399</v>
      </c>
      <c r="G13" s="19">
        <v>0.6102249595302855</v>
      </c>
      <c r="H13" s="19">
        <v>0.5715130155458599</v>
      </c>
      <c r="I13" s="19">
        <v>1.562733350737734</v>
      </c>
      <c r="J13" s="19">
        <v>0.4890208484280976</v>
      </c>
      <c r="K13" s="19">
        <v>11.680406</v>
      </c>
      <c r="L13" s="19">
        <v>2.5993288</v>
      </c>
      <c r="M13" s="20">
        <v>0.22507</v>
      </c>
      <c r="N13" s="20">
        <v>0.587</v>
      </c>
      <c r="O13" s="20">
        <v>0.1729137741789912</v>
      </c>
      <c r="P13" s="11">
        <v>48.72434899378244</v>
      </c>
      <c r="Q13" s="9" t="s">
        <v>67</v>
      </c>
    </row>
    <row r="14" spans="1:17" x14ac:dyDescent="0.25">
      <c r="A14" s="11">
        <v>10</v>
      </c>
      <c r="B14" s="9" t="s">
        <v>82</v>
      </c>
      <c r="C14" s="9" t="s">
        <v>83</v>
      </c>
      <c r="D14" s="9" t="s">
        <v>84</v>
      </c>
      <c r="E14" s="10">
        <v>260.5799865722656</v>
      </c>
      <c r="F14" s="16">
        <v>0.6998691224905804</v>
      </c>
      <c r="G14" s="19">
        <v>1.158776322034968</v>
      </c>
      <c r="H14" s="19">
        <v>0.3596891130938242</v>
      </c>
      <c r="I14" s="19">
        <v>0.009309850889890559</v>
      </c>
      <c r="J14" s="19">
        <v>0.8697248999105011</v>
      </c>
      <c r="K14" s="19">
        <v>5.083822</v>
      </c>
      <c r="L14" s="19">
        <v>2.0850062</v>
      </c>
      <c r="M14" s="20">
        <v>0.46113998</v>
      </c>
      <c r="N14" s="20">
        <v>0.118</v>
      </c>
      <c r="O14" s="20">
        <v>0.2272897563519332</v>
      </c>
      <c r="P14" s="11">
        <v>52.43996544752573</v>
      </c>
      <c r="Q14" s="9" t="s">
        <v>67</v>
      </c>
    </row>
    <row r="15" spans="1:17" x14ac:dyDescent="0.25">
      <c r="A15" s="11">
        <v>11</v>
      </c>
      <c r="B15" s="9" t="s">
        <v>85</v>
      </c>
      <c r="C15" s="9" t="s">
        <v>86</v>
      </c>
      <c r="D15" s="9" t="s">
        <v>87</v>
      </c>
      <c r="E15" s="10">
        <v>124.370002746582</v>
      </c>
      <c r="F15" s="16">
        <v>0.6993848123306926</v>
      </c>
      <c r="G15" s="19">
        <v>0.3568150294101221</v>
      </c>
      <c r="H15" s="19">
        <v>0.8874455070737253</v>
      </c>
      <c r="I15" s="19">
        <v>0.6313896241094424</v>
      </c>
      <c r="J15" s="19">
        <v>0.9192349437426943</v>
      </c>
      <c r="K15" s="19">
        <v>16.303185</v>
      </c>
      <c r="L15" s="19">
        <v>4.0541053</v>
      </c>
      <c r="M15" s="20">
        <v>0.30667</v>
      </c>
      <c r="N15" s="20">
        <v>0.377</v>
      </c>
      <c r="O15" s="20">
        <v>0.2281031585784812</v>
      </c>
      <c r="P15" s="11">
        <v>53.46645670416243</v>
      </c>
      <c r="Q15" s="9" t="s">
        <v>67</v>
      </c>
    </row>
    <row r="16" spans="1:17" x14ac:dyDescent="0.25">
      <c r="A16" s="11">
        <v>12</v>
      </c>
      <c r="B16" s="9" t="s">
        <v>0</v>
      </c>
      <c r="C16" s="9" t="s">
        <v>22</v>
      </c>
      <c r="D16" s="9" t="s">
        <v>23</v>
      </c>
      <c r="E16" s="10">
        <v>456.239990234375</v>
      </c>
      <c r="F16" s="16">
        <v>0.6881500402588745</v>
      </c>
      <c r="G16" s="19">
        <v>-1.276312485328304</v>
      </c>
      <c r="H16" s="19">
        <v>-0.5342797424893034</v>
      </c>
      <c r="I16" s="19">
        <v>3.12929742928239</v>
      </c>
      <c r="J16" s="19">
        <v>2.450730356957777</v>
      </c>
      <c r="K16" s="19">
        <v>884.0612</v>
      </c>
      <c r="L16" s="19">
        <v>-200.27277</v>
      </c>
      <c r="M16" s="20">
        <v>0</v>
      </c>
      <c r="N16" s="20">
        <v>0.875</v>
      </c>
      <c r="O16" s="20">
        <v>2.095677616236181</v>
      </c>
      <c r="P16" s="11">
        <v>52.61314359601702</v>
      </c>
      <c r="Q16" s="9" t="s">
        <v>67</v>
      </c>
    </row>
    <row r="17" spans="1:17" x14ac:dyDescent="0.25">
      <c r="A17" s="11">
        <v>13</v>
      </c>
      <c r="B17" s="9" t="s">
        <v>88</v>
      </c>
      <c r="C17" s="9" t="s">
        <v>89</v>
      </c>
      <c r="D17" s="9" t="s">
        <v>23</v>
      </c>
      <c r="E17" s="10">
        <v>187.0200042724609</v>
      </c>
      <c r="F17" s="16">
        <v>0.6846249323398198</v>
      </c>
      <c r="G17" s="19">
        <v>-0.4056392750220561</v>
      </c>
      <c r="H17" s="19">
        <v>1.27195723742807</v>
      </c>
      <c r="I17" s="19">
        <v>-0.1487202202604564</v>
      </c>
      <c r="J17" s="19">
        <v>1.702118128428292</v>
      </c>
      <c r="K17" s="19">
        <v>30.285252</v>
      </c>
      <c r="L17" s="19">
        <v>27.10866</v>
      </c>
      <c r="M17" s="20">
        <v>1.06734</v>
      </c>
      <c r="N17" s="20">
        <v>0.125</v>
      </c>
      <c r="O17" s="20">
        <v>0.9039571069398307</v>
      </c>
      <c r="P17" s="11">
        <v>49.64203036326002</v>
      </c>
      <c r="Q17" s="9" t="s">
        <v>67</v>
      </c>
    </row>
    <row r="18" spans="1:17" x14ac:dyDescent="0.25">
      <c r="A18" s="11">
        <v>14</v>
      </c>
      <c r="B18" s="9" t="s">
        <v>90</v>
      </c>
      <c r="C18" s="9" t="s">
        <v>91</v>
      </c>
      <c r="D18" s="9" t="s">
        <v>70</v>
      </c>
      <c r="E18" s="10">
        <v>42.54000091552734</v>
      </c>
      <c r="F18" s="16">
        <v>0.6801183977940611</v>
      </c>
      <c r="G18" s="19">
        <v>0.9986491788407921</v>
      </c>
      <c r="H18" s="19">
        <v>0.6094621501467751</v>
      </c>
      <c r="I18" s="19">
        <v>-0.228424555888388</v>
      </c>
      <c r="J18" s="19">
        <v>0.8747392999612933</v>
      </c>
      <c r="K18" s="19">
        <v>9.159914000000001</v>
      </c>
      <c r="L18" s="19">
        <v>2.14564</v>
      </c>
      <c r="M18" s="20">
        <v>0.26659</v>
      </c>
      <c r="N18" s="20">
        <v>0.092</v>
      </c>
      <c r="O18" s="20">
        <v>0.4200248016501495</v>
      </c>
      <c r="P18" s="11">
        <v>62.08986555933388</v>
      </c>
      <c r="Q18" s="9" t="s">
        <v>67</v>
      </c>
    </row>
    <row r="19" spans="1:17" x14ac:dyDescent="0.25">
      <c r="A19" s="11">
        <v>15</v>
      </c>
      <c r="B19" s="9" t="s">
        <v>92</v>
      </c>
      <c r="C19" s="9" t="s">
        <v>93</v>
      </c>
      <c r="D19" s="9" t="s">
        <v>23</v>
      </c>
      <c r="E19" s="10">
        <v>354.9700012207031</v>
      </c>
      <c r="F19" s="16">
        <v>0.6567454674023766</v>
      </c>
      <c r="G19" s="19">
        <v>-1.08262537420069</v>
      </c>
      <c r="H19" s="19">
        <v>0.6932659455068273</v>
      </c>
      <c r="I19" s="19">
        <v>3.615274867663105</v>
      </c>
      <c r="J19" s="19">
        <v>0.88641787712137</v>
      </c>
      <c r="K19" s="19">
        <v>51.539547</v>
      </c>
      <c r="L19" s="19">
        <v>18.169596</v>
      </c>
      <c r="M19" s="20">
        <v>0.36465</v>
      </c>
      <c r="N19" s="20">
        <v>1.039</v>
      </c>
      <c r="O19" s="20">
        <v>0.109596172161899</v>
      </c>
      <c r="P19" s="11">
        <v>43.8201951560922</v>
      </c>
      <c r="Q19" s="9" t="s">
        <v>67</v>
      </c>
    </row>
    <row r="20" spans="1:17" x14ac:dyDescent="0.25">
      <c r="A20" s="11">
        <v>16</v>
      </c>
      <c r="B20" s="9" t="s">
        <v>94</v>
      </c>
      <c r="C20" s="9" t="s">
        <v>95</v>
      </c>
      <c r="D20" s="9" t="s">
        <v>87</v>
      </c>
      <c r="E20" s="10">
        <v>385.5400085449219</v>
      </c>
      <c r="F20" s="16">
        <v>0.6437277618065194</v>
      </c>
      <c r="G20" s="19">
        <v>0.4746478020487309</v>
      </c>
      <c r="H20" s="19">
        <v>-0.2835410288834002</v>
      </c>
      <c r="I20" s="19">
        <v>0.2562199099090978</v>
      </c>
      <c r="J20" s="19">
        <v>1.779285639754618</v>
      </c>
      <c r="K20" s="19">
        <v>35.8304</v>
      </c>
      <c r="L20" s="19">
        <v>2.4162972</v>
      </c>
      <c r="M20" s="20">
        <v>0.06893000000000001</v>
      </c>
      <c r="N20" s="20">
        <v>0.262</v>
      </c>
      <c r="O20" s="20">
        <v>1.0384818383969</v>
      </c>
      <c r="P20" s="11">
        <v>51.92526418841503</v>
      </c>
      <c r="Q20" s="9" t="s">
        <v>67</v>
      </c>
    </row>
    <row r="21" spans="1:17" x14ac:dyDescent="0.25">
      <c r="A21" s="11">
        <v>17</v>
      </c>
      <c r="B21" s="9" t="s">
        <v>96</v>
      </c>
      <c r="C21" s="9" t="s">
        <v>97</v>
      </c>
      <c r="D21" s="9" t="s">
        <v>23</v>
      </c>
      <c r="E21" s="10">
        <v>217.5500030517578</v>
      </c>
      <c r="F21" s="16">
        <v>0.6358914994287772</v>
      </c>
      <c r="G21" s="19">
        <v>-1.338461785426528</v>
      </c>
      <c r="H21" s="19">
        <v>2.078256102926562</v>
      </c>
      <c r="I21" s="19">
        <v>2.806787311422478</v>
      </c>
      <c r="J21" s="19">
        <v>0.3228263753724115</v>
      </c>
      <c r="K21" s="19">
        <v>32.883278</v>
      </c>
      <c r="L21" s="19">
        <v>25.833954</v>
      </c>
      <c r="M21" s="20">
        <v>1.14288</v>
      </c>
      <c r="N21" s="20">
        <v>0.852</v>
      </c>
      <c r="O21" s="20">
        <v>0.2292755810438503</v>
      </c>
      <c r="P21" s="11">
        <v>52.34354093262409</v>
      </c>
      <c r="Q21" s="9" t="s">
        <v>67</v>
      </c>
    </row>
    <row r="22" spans="1:17" x14ac:dyDescent="0.25">
      <c r="A22" s="11">
        <v>18</v>
      </c>
      <c r="B22" s="9" t="s">
        <v>98</v>
      </c>
      <c r="C22" s="9" t="s">
        <v>99</v>
      </c>
      <c r="D22" s="9" t="s">
        <v>70</v>
      </c>
      <c r="E22" s="10">
        <v>244.0099945068359</v>
      </c>
      <c r="F22" s="16">
        <v>0.6288678535621901</v>
      </c>
      <c r="G22" s="19">
        <v>0.06892234601185927</v>
      </c>
      <c r="H22" s="19">
        <v>-0.54467699511111</v>
      </c>
      <c r="I22" s="19">
        <v>2.512241193631993</v>
      </c>
      <c r="J22" s="19">
        <v>1.225080731638703</v>
      </c>
      <c r="K22" s="19">
        <v>110.99082</v>
      </c>
      <c r="L22" s="19">
        <v>3.064414</v>
      </c>
      <c r="M22" s="20">
        <v>0.23452999</v>
      </c>
      <c r="N22" s="20">
        <v>0.531</v>
      </c>
      <c r="O22" s="20">
        <v>0.6010238221719943</v>
      </c>
      <c r="P22" s="11">
        <v>70.54639059914102</v>
      </c>
      <c r="Q22" s="9" t="s">
        <v>67</v>
      </c>
    </row>
    <row r="23" spans="1:17" x14ac:dyDescent="0.25">
      <c r="A23" s="11">
        <v>19</v>
      </c>
      <c r="B23" s="9" t="s">
        <v>100</v>
      </c>
      <c r="C23" s="9" t="s">
        <v>101</v>
      </c>
      <c r="D23" s="9" t="s">
        <v>84</v>
      </c>
      <c r="E23" s="10">
        <v>1033.989990234375</v>
      </c>
      <c r="F23" s="16">
        <v>0.6052692400068327</v>
      </c>
      <c r="G23" s="19">
        <v>0.3556011439311419</v>
      </c>
      <c r="H23" s="19">
        <v>0.8458479961101603</v>
      </c>
      <c r="I23" s="19">
        <v>1.024034813371229</v>
      </c>
      <c r="J23" s="19">
        <v>0.4450722526475528</v>
      </c>
      <c r="K23" s="19">
        <v>16.004324</v>
      </c>
      <c r="L23" s="19">
        <v>2.8622644</v>
      </c>
      <c r="M23" s="20">
        <v>0.16902</v>
      </c>
      <c r="N23" s="20">
        <v>0.425</v>
      </c>
      <c r="O23" s="20">
        <v>0.2145754282246302</v>
      </c>
      <c r="P23" s="11">
        <v>48.31938488621898</v>
      </c>
      <c r="Q23" s="9" t="s">
        <v>67</v>
      </c>
    </row>
    <row r="24" spans="1:17" x14ac:dyDescent="0.25">
      <c r="A24" s="11">
        <v>20</v>
      </c>
      <c r="B24" s="9" t="s">
        <v>102</v>
      </c>
      <c r="C24" s="9" t="s">
        <v>103</v>
      </c>
      <c r="D24" s="9" t="s">
        <v>70</v>
      </c>
      <c r="E24" s="10">
        <v>197.6699981689453</v>
      </c>
      <c r="F24" s="16">
        <v>0.5772305002286223</v>
      </c>
      <c r="G24" s="19">
        <v>0.561347890123932</v>
      </c>
      <c r="H24" s="19">
        <v>0.0970884411429475</v>
      </c>
      <c r="I24" s="19">
        <v>1.717140484071832</v>
      </c>
      <c r="J24" s="19">
        <v>0.4232765009831034</v>
      </c>
      <c r="K24" s="19">
        <v>40.156254</v>
      </c>
      <c r="L24" s="19">
        <v>1.5220274</v>
      </c>
      <c r="M24" s="20">
        <v>0.034930002</v>
      </c>
      <c r="N24" s="20">
        <v>0.525</v>
      </c>
      <c r="O24" s="20">
        <v>0.1549079639743987</v>
      </c>
      <c r="P24" s="11">
        <v>47.74849169997778</v>
      </c>
      <c r="Q24" s="9" t="s">
        <v>67</v>
      </c>
    </row>
    <row r="25" spans="1:17" x14ac:dyDescent="0.25">
      <c r="A25" s="11">
        <v>21</v>
      </c>
      <c r="B25" s="9" t="s">
        <v>104</v>
      </c>
      <c r="C25" s="9" t="s">
        <v>105</v>
      </c>
      <c r="D25" s="9" t="s">
        <v>84</v>
      </c>
      <c r="E25" s="10">
        <v>214.7700042724609</v>
      </c>
      <c r="F25" s="16">
        <v>0.5735185943482911</v>
      </c>
      <c r="G25" s="19">
        <v>0.3452907642059501</v>
      </c>
      <c r="H25" s="19">
        <v>0.8001987998031764</v>
      </c>
      <c r="I25" s="19">
        <v>0.4732064398512328</v>
      </c>
      <c r="J25" s="19">
        <v>0.6630023305267569</v>
      </c>
      <c r="K25" s="19">
        <v>17.306387</v>
      </c>
      <c r="L25" s="19">
        <v>3.1574755</v>
      </c>
      <c r="M25" s="20">
        <v>0.17969999</v>
      </c>
      <c r="N25" s="20">
        <v>0.28</v>
      </c>
      <c r="O25" s="20">
        <v>0.303902480553556</v>
      </c>
      <c r="P25" s="11">
        <v>50.10351300193571</v>
      </c>
      <c r="Q25" s="9" t="s">
        <v>67</v>
      </c>
    </row>
    <row r="26" spans="1:17" x14ac:dyDescent="0.25">
      <c r="A26" s="11">
        <v>22</v>
      </c>
      <c r="B26" s="9" t="s">
        <v>106</v>
      </c>
      <c r="C26" s="9" t="s">
        <v>107</v>
      </c>
      <c r="D26" s="9" t="s">
        <v>108</v>
      </c>
      <c r="E26" s="10">
        <v>346.5899963378906</v>
      </c>
      <c r="F26" s="16">
        <v>0.5723262248347317</v>
      </c>
      <c r="G26" s="19">
        <v>-0.3026541063380147</v>
      </c>
      <c r="H26" s="19">
        <v>1.453871687245511</v>
      </c>
      <c r="I26" s="19">
        <v>1.455283430456029</v>
      </c>
      <c r="J26" s="19">
        <v>0.27120673452118</v>
      </c>
      <c r="K26" s="19">
        <v>17.464125</v>
      </c>
      <c r="L26" s="19">
        <v>6.838651</v>
      </c>
      <c r="M26" s="20">
        <v>0.48676</v>
      </c>
      <c r="N26" s="20">
        <v>0.242</v>
      </c>
      <c r="O26" s="20">
        <v>0.1131675735057152</v>
      </c>
      <c r="P26" s="11">
        <v>49.26183990788777</v>
      </c>
      <c r="Q26" s="9" t="s">
        <v>67</v>
      </c>
    </row>
    <row r="27" spans="1:17" x14ac:dyDescent="0.25">
      <c r="A27" s="11">
        <v>23</v>
      </c>
      <c r="B27" s="9" t="s">
        <v>109</v>
      </c>
      <c r="C27" s="9" t="s">
        <v>110</v>
      </c>
      <c r="D27" s="9" t="s">
        <v>84</v>
      </c>
      <c r="E27" s="10">
        <v>369.8999938964844</v>
      </c>
      <c r="F27" s="16">
        <v>0.5689147855176091</v>
      </c>
      <c r="G27" s="19">
        <v>1.091200655903261</v>
      </c>
      <c r="H27" s="19">
        <v>0.1101459112354547</v>
      </c>
      <c r="I27" s="19">
        <v>-0.3352804504404189</v>
      </c>
      <c r="J27" s="19">
        <v>0.8810339283461005</v>
      </c>
      <c r="K27" s="19">
        <v>9.963699999999999</v>
      </c>
      <c r="L27" s="19">
        <v>2.3337615</v>
      </c>
      <c r="M27" s="20">
        <v>0.26511</v>
      </c>
      <c r="N27" s="20">
        <v>0.003</v>
      </c>
      <c r="O27" s="20">
        <v>0.2078763145036941</v>
      </c>
      <c r="P27" s="11">
        <v>53.13232931507415</v>
      </c>
      <c r="Q27" s="9" t="s">
        <v>67</v>
      </c>
    </row>
    <row r="28" spans="1:17" x14ac:dyDescent="0.25">
      <c r="A28" s="11">
        <v>24</v>
      </c>
      <c r="B28" s="9" t="s">
        <v>111</v>
      </c>
      <c r="C28" s="9" t="s">
        <v>112</v>
      </c>
      <c r="D28" s="9" t="s">
        <v>70</v>
      </c>
      <c r="E28" s="10">
        <v>201.8600006103516</v>
      </c>
      <c r="F28" s="16">
        <v>0.5606985700814503</v>
      </c>
      <c r="G28" s="19">
        <v>0.5728138826097362</v>
      </c>
      <c r="H28" s="19">
        <v>-0.06908867602196844</v>
      </c>
      <c r="I28" s="19">
        <v>2.415351960752095</v>
      </c>
      <c r="J28" s="19">
        <v>0.1460792673040241</v>
      </c>
      <c r="K28" s="19">
        <v>19.755836</v>
      </c>
      <c r="L28" s="19">
        <v>2.098037</v>
      </c>
      <c r="M28" s="20">
        <v>0.12231</v>
      </c>
      <c r="N28" s="20">
        <v>0.535</v>
      </c>
      <c r="O28" s="20">
        <v>0.1002713356176403</v>
      </c>
      <c r="P28" s="11">
        <v>61.45434657924219</v>
      </c>
      <c r="Q28" s="9" t="s">
        <v>67</v>
      </c>
    </row>
    <row r="29" spans="1:17" x14ac:dyDescent="0.25">
      <c r="A29" s="11">
        <v>25</v>
      </c>
      <c r="B29" s="9" t="s">
        <v>113</v>
      </c>
      <c r="C29" s="9" t="s">
        <v>114</v>
      </c>
      <c r="D29" s="9" t="s">
        <v>108</v>
      </c>
      <c r="E29" s="10">
        <v>342.8800048828125</v>
      </c>
      <c r="F29" s="16">
        <v>0.5553664433034561</v>
      </c>
      <c r="G29" s="19">
        <v>-0.2917499460294181</v>
      </c>
      <c r="H29" s="19">
        <v>1.453871687245511</v>
      </c>
      <c r="I29" s="19">
        <v>1.455283430456029</v>
      </c>
      <c r="J29" s="19">
        <v>0.2037699691083313</v>
      </c>
      <c r="K29" s="19">
        <v>17.298695</v>
      </c>
      <c r="L29" s="19">
        <v>6.770473</v>
      </c>
      <c r="M29" s="20">
        <v>0.48676</v>
      </c>
      <c r="N29" s="20">
        <v>0.242</v>
      </c>
      <c r="O29" s="20">
        <v>0.1024245409463853</v>
      </c>
      <c r="P29" s="11">
        <v>47.96194401166649</v>
      </c>
      <c r="Q29" s="9" t="s">
        <v>67</v>
      </c>
    </row>
    <row r="30" spans="1:17" x14ac:dyDescent="0.25">
      <c r="A30" s="11">
        <v>26</v>
      </c>
      <c r="B30" s="9" t="s">
        <v>115</v>
      </c>
      <c r="C30" s="9" t="s">
        <v>116</v>
      </c>
      <c r="D30" s="9" t="s">
        <v>87</v>
      </c>
      <c r="E30" s="10">
        <v>64.75</v>
      </c>
      <c r="F30" s="16">
        <v>0.5505942535115145</v>
      </c>
      <c r="G30" s="19">
        <v>1.175622071073703</v>
      </c>
      <c r="H30" s="19">
        <v>-0.5327402912596072</v>
      </c>
      <c r="I30" s="19">
        <v>-0.5389901628995794</v>
      </c>
      <c r="J30" s="19">
        <v>1.373137431464142</v>
      </c>
      <c r="K30" s="19">
        <v>12.357601</v>
      </c>
      <c r="L30" s="19">
        <v>1.4373919</v>
      </c>
      <c r="M30" s="20">
        <v>-0.20358999</v>
      </c>
      <c r="N30" s="20">
        <v>0.046</v>
      </c>
      <c r="O30" s="20">
        <v>0.4427361510470484</v>
      </c>
      <c r="P30" s="11">
        <v>49.04544420755537</v>
      </c>
      <c r="Q30" s="9" t="s">
        <v>67</v>
      </c>
    </row>
    <row r="31" spans="1:17" x14ac:dyDescent="0.25">
      <c r="A31" s="11">
        <v>27</v>
      </c>
      <c r="B31" s="9" t="s">
        <v>117</v>
      </c>
      <c r="C31" s="9" t="s">
        <v>118</v>
      </c>
      <c r="D31" s="9" t="s">
        <v>119</v>
      </c>
      <c r="E31" s="10">
        <v>125.7900009155273</v>
      </c>
      <c r="F31" s="16">
        <v>0.5378714095247294</v>
      </c>
      <c r="G31" s="19">
        <v>0.6458174147154766</v>
      </c>
      <c r="H31" s="19">
        <v>0.432781060607519</v>
      </c>
      <c r="I31" s="19">
        <v>0.3540288428030787</v>
      </c>
      <c r="J31" s="19">
        <v>0.6094219784591497</v>
      </c>
      <c r="K31" s="19">
        <v>9.616072000000001</v>
      </c>
      <c r="L31" s="19">
        <v>3.4084976</v>
      </c>
      <c r="M31" s="20">
        <v>0.29867</v>
      </c>
      <c r="N31" s="20">
        <v>0.176</v>
      </c>
      <c r="O31" s="20">
        <v>0.2754100407418374</v>
      </c>
      <c r="P31" s="11">
        <v>57.41225311678481</v>
      </c>
      <c r="Q31" s="9" t="s">
        <v>67</v>
      </c>
    </row>
    <row r="32" spans="1:17" x14ac:dyDescent="0.25">
      <c r="A32" s="11">
        <v>28</v>
      </c>
      <c r="B32" s="9" t="s">
        <v>120</v>
      </c>
      <c r="C32" s="9" t="s">
        <v>121</v>
      </c>
      <c r="D32" s="9" t="s">
        <v>23</v>
      </c>
      <c r="E32" s="10">
        <v>166</v>
      </c>
      <c r="F32" s="16">
        <v>0.5277123383300487</v>
      </c>
      <c r="G32" s="19">
        <v>-1.877249539822365</v>
      </c>
      <c r="H32" s="19">
        <v>1.758964460615154</v>
      </c>
      <c r="I32" s="19">
        <v>0.3182836657213104</v>
      </c>
      <c r="J32" s="19">
        <v>2.011345117549243</v>
      </c>
      <c r="K32" s="19">
        <v>54.282146</v>
      </c>
      <c r="L32" s="19">
        <v>71.89688</v>
      </c>
      <c r="M32" s="20">
        <v>1.17442</v>
      </c>
      <c r="N32" s="20">
        <v>0.256</v>
      </c>
      <c r="O32" s="20">
        <v>1.100468209085766</v>
      </c>
      <c r="P32" s="11">
        <v>57.15310341793203</v>
      </c>
      <c r="Q32" s="9" t="s">
        <v>67</v>
      </c>
    </row>
    <row r="33" spans="1:17" x14ac:dyDescent="0.25">
      <c r="A33" s="11">
        <v>29</v>
      </c>
      <c r="B33" s="9" t="s">
        <v>122</v>
      </c>
      <c r="C33" s="9" t="s">
        <v>123</v>
      </c>
      <c r="D33" s="9" t="s">
        <v>79</v>
      </c>
      <c r="E33" s="10">
        <v>205.6300048828125</v>
      </c>
      <c r="F33" s="16">
        <v>0.5003618612026105</v>
      </c>
      <c r="G33" s="19">
        <v>0.1534000000694478</v>
      </c>
      <c r="H33" s="19">
        <v>1.132904211800141</v>
      </c>
      <c r="I33" s="19">
        <v>0.2283188730840903</v>
      </c>
      <c r="J33" s="19">
        <v>0.4562265908970911</v>
      </c>
      <c r="K33" s="19">
        <v>23.318033</v>
      </c>
      <c r="L33" s="19">
        <v>-14.997891</v>
      </c>
      <c r="M33" s="20">
        <v>0</v>
      </c>
      <c r="N33" s="20">
        <v>0.081</v>
      </c>
      <c r="O33" s="20">
        <v>0.2184485787837076</v>
      </c>
      <c r="P33" s="11">
        <v>53.11496913141019</v>
      </c>
      <c r="Q33" s="9" t="s">
        <v>67</v>
      </c>
    </row>
    <row r="34" spans="1:17" x14ac:dyDescent="0.25">
      <c r="A34" s="11">
        <v>30</v>
      </c>
      <c r="B34" s="9" t="s">
        <v>124</v>
      </c>
      <c r="C34" s="9" t="s">
        <v>125</v>
      </c>
      <c r="D34" s="9" t="s">
        <v>84</v>
      </c>
      <c r="E34" s="10">
        <v>110.1600036621094</v>
      </c>
      <c r="F34" s="16">
        <v>0.488400798293382</v>
      </c>
      <c r="G34" s="19">
        <v>0.02982011516877862</v>
      </c>
      <c r="H34" s="19">
        <v>1.249493192438245</v>
      </c>
      <c r="I34" s="19">
        <v>0.1792183728511779</v>
      </c>
      <c r="J34" s="19">
        <v>0.4673290323517015</v>
      </c>
      <c r="K34" s="19">
        <v>20.440647</v>
      </c>
      <c r="L34" s="19">
        <v>4.4703617</v>
      </c>
      <c r="M34" s="20">
        <v>0.20273</v>
      </c>
      <c r="N34" s="20">
        <v>0.209</v>
      </c>
      <c r="O34" s="20">
        <v>0.1646814073625291</v>
      </c>
      <c r="P34" s="11">
        <v>57.25670716621179</v>
      </c>
      <c r="Q34" s="9" t="s">
        <v>67</v>
      </c>
    </row>
    <row r="35" spans="1:17" x14ac:dyDescent="0.25">
      <c r="A35" s="11">
        <v>31</v>
      </c>
      <c r="B35" s="9" t="s">
        <v>126</v>
      </c>
      <c r="C35" s="9" t="s">
        <v>127</v>
      </c>
      <c r="D35" s="9" t="s">
        <v>84</v>
      </c>
      <c r="E35" s="10">
        <v>171.9700012207031</v>
      </c>
      <c r="F35" s="16">
        <v>0.4718920772568308</v>
      </c>
      <c r="G35" s="19">
        <v>0.9039922035122165</v>
      </c>
      <c r="H35" s="19">
        <v>0.2335474389445495</v>
      </c>
      <c r="I35" s="19">
        <v>0.6837145595313986</v>
      </c>
      <c r="J35" s="19">
        <v>0.1325012417910622</v>
      </c>
      <c r="K35" s="19">
        <v>7.9410954</v>
      </c>
      <c r="L35" s="19">
        <v>1.5754024</v>
      </c>
      <c r="M35" s="20">
        <v>0.21484</v>
      </c>
      <c r="N35" s="20">
        <v>0.316</v>
      </c>
      <c r="O35" s="20">
        <v>0.06069710401615924</v>
      </c>
      <c r="P35" s="11">
        <v>45.26649137766186</v>
      </c>
      <c r="Q35" s="9" t="s">
        <v>67</v>
      </c>
    </row>
    <row r="36" spans="1:17" x14ac:dyDescent="0.25">
      <c r="A36" s="11">
        <v>32</v>
      </c>
      <c r="B36" s="9" t="s">
        <v>128</v>
      </c>
      <c r="C36" s="9" t="s">
        <v>129</v>
      </c>
      <c r="D36" s="9" t="s">
        <v>87</v>
      </c>
      <c r="E36" s="10">
        <v>66.58000183105469</v>
      </c>
      <c r="F36" s="16">
        <v>0.4578852482700356</v>
      </c>
      <c r="G36" s="19">
        <v>0.4782631507053702</v>
      </c>
      <c r="H36" s="19">
        <v>0.5511183194325295</v>
      </c>
      <c r="I36" s="19">
        <v>0.2691043413223938</v>
      </c>
      <c r="J36" s="19">
        <v>0.454203573339777</v>
      </c>
      <c r="K36" s="19">
        <v>14.819383</v>
      </c>
      <c r="L36" s="19">
        <v>6.1583524</v>
      </c>
      <c r="M36" s="20">
        <v>0.46598998</v>
      </c>
      <c r="N36" s="20">
        <v>0.057</v>
      </c>
      <c r="O36" s="20">
        <v>0.09068192069473491</v>
      </c>
      <c r="P36" s="11">
        <v>58.46132139366637</v>
      </c>
      <c r="Q36" s="9" t="s">
        <v>67</v>
      </c>
    </row>
    <row r="37" spans="1:17" x14ac:dyDescent="0.25">
      <c r="A37" s="11">
        <v>33</v>
      </c>
      <c r="B37" s="9" t="s">
        <v>130</v>
      </c>
      <c r="C37" s="9" t="s">
        <v>131</v>
      </c>
      <c r="D37" s="9" t="s">
        <v>23</v>
      </c>
      <c r="E37" s="10">
        <v>356.4500122070312</v>
      </c>
      <c r="F37" s="16">
        <v>0.4431110568312069</v>
      </c>
      <c r="G37" s="19">
        <v>0.1745054589838901</v>
      </c>
      <c r="H37" s="19">
        <v>-0.2017379700313818</v>
      </c>
      <c r="I37" s="19">
        <v>0.5362618455560154</v>
      </c>
      <c r="J37" s="19">
        <v>1.202515449368277</v>
      </c>
      <c r="K37" s="19">
        <v>33.79535</v>
      </c>
      <c r="L37" s="19">
        <v>5.012071</v>
      </c>
      <c r="M37" s="20">
        <v>0.15286</v>
      </c>
      <c r="N37" s="20">
        <v>0.204</v>
      </c>
      <c r="O37" s="20">
        <v>0.5915788601597702</v>
      </c>
      <c r="P37" s="11">
        <v>59.3118022855505</v>
      </c>
      <c r="Q37" s="9" t="s">
        <v>67</v>
      </c>
    </row>
    <row r="38" spans="1:17" x14ac:dyDescent="0.25">
      <c r="A38" s="11">
        <v>34</v>
      </c>
      <c r="B38" s="9" t="s">
        <v>132</v>
      </c>
      <c r="C38" s="9" t="s">
        <v>133</v>
      </c>
      <c r="D38" s="9" t="s">
        <v>70</v>
      </c>
      <c r="E38" s="10">
        <v>47.34999847412109</v>
      </c>
      <c r="F38" s="16">
        <v>0.4280179324648286</v>
      </c>
      <c r="G38" s="19">
        <v>0.4704959025733791</v>
      </c>
      <c r="H38" s="19">
        <v>0.07046152471131609</v>
      </c>
      <c r="I38" s="19">
        <v>1.41063650916965</v>
      </c>
      <c r="J38" s="19">
        <v>0.1921943471317943</v>
      </c>
      <c r="K38" s="19">
        <v>10.484783</v>
      </c>
      <c r="L38" s="19">
        <v>1.3284671</v>
      </c>
      <c r="M38" s="20">
        <v>0.11522</v>
      </c>
      <c r="N38" s="20">
        <v>0.642</v>
      </c>
      <c r="O38" s="20">
        <v>0.1012142394224811</v>
      </c>
      <c r="P38" s="11">
        <v>57.27752671216225</v>
      </c>
      <c r="Q38" s="9" t="s">
        <v>67</v>
      </c>
    </row>
    <row r="39" spans="1:17" x14ac:dyDescent="0.25">
      <c r="A39" s="11">
        <v>35</v>
      </c>
      <c r="B39" s="9" t="s">
        <v>134</v>
      </c>
      <c r="C39" s="9" t="s">
        <v>135</v>
      </c>
      <c r="D39" s="9" t="s">
        <v>84</v>
      </c>
      <c r="E39" s="10">
        <v>179.3600006103516</v>
      </c>
      <c r="F39" s="16">
        <v>0.4269702863280952</v>
      </c>
      <c r="G39" s="19">
        <v>0.5368950783305056</v>
      </c>
      <c r="H39" s="19">
        <v>0.5945270320387294</v>
      </c>
      <c r="I39" s="19">
        <v>0.0123304280898874</v>
      </c>
      <c r="J39" s="19">
        <v>0.3847348020192604</v>
      </c>
      <c r="K39" s="19">
        <v>15.270527</v>
      </c>
      <c r="L39" s="19">
        <v>2.6730006</v>
      </c>
      <c r="M39" s="20">
        <v>0.18416001</v>
      </c>
      <c r="N39" s="20">
        <v>0.151</v>
      </c>
      <c r="O39" s="20">
        <v>0.1802533181435626</v>
      </c>
      <c r="P39" s="11">
        <v>58.59623669423807</v>
      </c>
      <c r="Q39" s="9" t="s">
        <v>67</v>
      </c>
    </row>
    <row r="40" spans="1:17" x14ac:dyDescent="0.25">
      <c r="A40" s="11">
        <v>36</v>
      </c>
      <c r="B40" s="9" t="s">
        <v>136</v>
      </c>
      <c r="C40" s="9" t="s">
        <v>137</v>
      </c>
      <c r="D40" s="9" t="s">
        <v>138</v>
      </c>
      <c r="E40" s="10">
        <v>68.65000152587891</v>
      </c>
      <c r="F40" s="16">
        <v>0.4195929056940111</v>
      </c>
      <c r="G40" s="19">
        <v>0.5078777743715293</v>
      </c>
      <c r="H40" s="19">
        <v>1.335916108729087</v>
      </c>
      <c r="I40" s="19">
        <v>-0.5911526511284643</v>
      </c>
      <c r="J40" s="19">
        <v>0.07307814623183409</v>
      </c>
      <c r="K40" s="19">
        <v>13.916667</v>
      </c>
      <c r="L40" s="19">
        <v>-42.84731</v>
      </c>
      <c r="M40" s="20">
        <v>0</v>
      </c>
      <c r="N40" s="20">
        <v>0.012</v>
      </c>
      <c r="O40" s="20">
        <v>0.02613223193085679</v>
      </c>
      <c r="P40" s="11">
        <v>51.90735711255628</v>
      </c>
      <c r="Q40" s="9" t="s">
        <v>67</v>
      </c>
    </row>
    <row r="41" spans="1:17" x14ac:dyDescent="0.25">
      <c r="A41" s="11">
        <v>37</v>
      </c>
      <c r="B41" s="9" t="s">
        <v>139</v>
      </c>
      <c r="C41" s="9" t="s">
        <v>140</v>
      </c>
      <c r="D41" s="9" t="s">
        <v>23</v>
      </c>
      <c r="E41" s="10">
        <v>895</v>
      </c>
      <c r="F41" s="16">
        <v>0.419116335300859</v>
      </c>
      <c r="G41" s="19">
        <v>-1.802769348549261</v>
      </c>
      <c r="H41" s="19">
        <v>-0.4234103737860816</v>
      </c>
      <c r="I41" s="19">
        <v>4.026096567149331</v>
      </c>
      <c r="J41" s="19">
        <v>1.539617494132527</v>
      </c>
      <c r="K41" s="19">
        <v>25.146631</v>
      </c>
      <c r="L41" s="19">
        <v>15.838706</v>
      </c>
      <c r="M41" s="20">
        <v>-2.40027</v>
      </c>
      <c r="N41" s="20">
        <v>1.093</v>
      </c>
      <c r="O41" s="20">
        <v>0.2769114926196754</v>
      </c>
      <c r="P41" s="11">
        <v>53.10377755790047</v>
      </c>
      <c r="Q41" s="9" t="s">
        <v>67</v>
      </c>
    </row>
    <row r="42" spans="1:17" x14ac:dyDescent="0.25">
      <c r="A42" s="11">
        <v>38</v>
      </c>
      <c r="B42" s="9" t="s">
        <v>141</v>
      </c>
      <c r="C42" s="9" t="s">
        <v>142</v>
      </c>
      <c r="D42" s="9" t="s">
        <v>143</v>
      </c>
      <c r="E42" s="10">
        <v>97.80000305175781</v>
      </c>
      <c r="F42" s="16">
        <v>0.4152862432119432</v>
      </c>
      <c r="G42" s="19">
        <v>0.7063363874428802</v>
      </c>
      <c r="H42" s="19">
        <v>-0.5861048079063108</v>
      </c>
      <c r="I42" s="19">
        <v>0.5647011887732123</v>
      </c>
      <c r="J42" s="19">
        <v>0.8840211687989168</v>
      </c>
      <c r="K42" s="19">
        <v>24.444168</v>
      </c>
      <c r="L42" s="19">
        <v>1.7058009</v>
      </c>
      <c r="M42" s="20">
        <v>0.06886</v>
      </c>
      <c r="N42" s="20">
        <v>0.004</v>
      </c>
      <c r="O42" s="20">
        <v>0.1555364571332967</v>
      </c>
      <c r="P42" s="11">
        <v>50.22244313756962</v>
      </c>
      <c r="Q42" s="9" t="s">
        <v>67</v>
      </c>
    </row>
    <row r="43" spans="1:17" x14ac:dyDescent="0.25">
      <c r="A43" s="11">
        <v>39</v>
      </c>
      <c r="B43" s="9" t="s">
        <v>144</v>
      </c>
      <c r="C43" s="9" t="s">
        <v>145</v>
      </c>
      <c r="D43" s="9" t="s">
        <v>84</v>
      </c>
      <c r="E43" s="10">
        <v>111.2399978637695</v>
      </c>
      <c r="F43" s="16">
        <v>0.406154441161592</v>
      </c>
      <c r="G43" s="19">
        <v>0.6818833135656812</v>
      </c>
      <c r="H43" s="19">
        <v>0.6287894397638343</v>
      </c>
      <c r="I43" s="19">
        <v>-0.1751734853969869</v>
      </c>
      <c r="J43" s="19">
        <v>0.2355603665349237</v>
      </c>
      <c r="K43" s="19">
        <v>11.196411</v>
      </c>
      <c r="L43" s="19">
        <v>2.1772428</v>
      </c>
      <c r="M43" s="20">
        <v>0.19399999</v>
      </c>
      <c r="N43" s="20">
        <v>0.107</v>
      </c>
      <c r="O43" s="20">
        <v>0.2073482183136333</v>
      </c>
      <c r="P43" s="11">
        <v>43.65069199188701</v>
      </c>
      <c r="Q43" s="9" t="s">
        <v>67</v>
      </c>
    </row>
    <row r="44" spans="1:17" x14ac:dyDescent="0.25">
      <c r="A44" s="11">
        <v>40</v>
      </c>
      <c r="B44" s="9" t="s">
        <v>146</v>
      </c>
      <c r="C44" s="9" t="s">
        <v>147</v>
      </c>
      <c r="D44" s="9" t="s">
        <v>70</v>
      </c>
      <c r="E44" s="10">
        <v>130.3500061035156</v>
      </c>
      <c r="F44" s="16">
        <v>0.404834775201163</v>
      </c>
      <c r="G44" s="19">
        <v>0.5566183474132383</v>
      </c>
      <c r="H44" s="19">
        <v>0.07245981733422238</v>
      </c>
      <c r="I44" s="19">
        <v>0.895181571692572</v>
      </c>
      <c r="J44" s="19">
        <v>0.2848569362991672</v>
      </c>
      <c r="K44" s="19">
        <v>17.827541</v>
      </c>
      <c r="L44" s="19">
        <v>2.451422</v>
      </c>
      <c r="M44" s="20">
        <v>0.1418</v>
      </c>
      <c r="N44" s="20">
        <v>0.355</v>
      </c>
      <c r="O44" s="20">
        <v>0.1651207293220864</v>
      </c>
      <c r="P44" s="11">
        <v>61.98788872475078</v>
      </c>
      <c r="Q44" s="9" t="s">
        <v>67</v>
      </c>
    </row>
  </sheetData>
  <autoFilter ref="A4:Q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J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7" x14ac:dyDescent="0.25">
      <c r="A1" s="1" t="s">
        <v>148</v>
      </c>
    </row>
    <row r="2" spans="1:7" x14ac:dyDescent="0.25">
      <c r="A2" s="2" t="s">
        <v>149</v>
      </c>
    </row>
    <row r="4" spans="1:7" x14ac:dyDescent="0.25">
      <c r="A4" s="8" t="s">
        <v>150</v>
      </c>
    </row>
    <row r="5" spans="1:7" ht="30" customHeight="1" x14ac:dyDescent="0.25">
      <c r="A5" s="14" t="s">
        <v>151</v>
      </c>
      <c r="B5" s="14" t="s">
        <v>152</v>
      </c>
      <c r="C5" s="14" t="s">
        <v>153</v>
      </c>
    </row>
    <row r="6" spans="1:7" x14ac:dyDescent="0.25">
      <c r="A6" s="9" t="s">
        <v>154</v>
      </c>
      <c r="B6" s="20">
        <v>0.3</v>
      </c>
      <c r="C6" s="9" t="s">
        <v>155</v>
      </c>
    </row>
    <row r="7" spans="1:7" x14ac:dyDescent="0.25">
      <c r="A7" s="9" t="s">
        <v>156</v>
      </c>
      <c r="B7" s="20">
        <v>0.25</v>
      </c>
      <c r="C7" s="9" t="s">
        <v>157</v>
      </c>
    </row>
    <row r="8" spans="1:7" x14ac:dyDescent="0.25">
      <c r="A8" s="9" t="s">
        <v>158</v>
      </c>
      <c r="B8" s="20">
        <v>0.15</v>
      </c>
      <c r="C8" s="9" t="s">
        <v>159</v>
      </c>
    </row>
    <row r="9" spans="1:7" x14ac:dyDescent="0.25">
      <c r="A9" s="9" t="s">
        <v>160</v>
      </c>
      <c r="B9" s="20">
        <v>0.3</v>
      </c>
      <c r="C9" s="9" t="s">
        <v>161</v>
      </c>
    </row>
    <row r="10" spans="1:7" x14ac:dyDescent="0.25">
      <c r="A10" s="12" t="s">
        <v>162</v>
      </c>
      <c r="B10" s="20">
        <f>SUM(B6:B9)</f>
        <v>1.0</v>
      </c>
    </row>
    <row r="12" spans="1:7" x14ac:dyDescent="0.25">
      <c r="A12" s="8" t="s">
        <v>163</v>
      </c>
    </row>
    <row r="13" spans="1:7" x14ac:dyDescent="0.25">
      <c r="A13" s="13" t="s">
        <v>164</v>
      </c>
    </row>
    <row r="15" spans="1:7" x14ac:dyDescent="0.25">
      <c r="A15" s="8" t="s">
        <v>165</v>
      </c>
    </row>
    <row r="16" spans="1:7" x14ac:dyDescent="0.25">
      <c r="A16" s="13" t="s">
        <v>166</v>
      </c>
      <c r="B16" s="13"/>
      <c r="C16" s="13"/>
      <c r="D16" s="13"/>
      <c r="E16" s="13"/>
      <c r="F16" s="13"/>
      <c r="G16" s="13"/>
    </row>
    <row r="17" spans="1:7" x14ac:dyDescent="0.25">
      <c r="A17" s="13"/>
      <c r="B17" s="13"/>
      <c r="C17" s="13"/>
      <c r="D17" s="13"/>
      <c r="E17" s="13"/>
      <c r="F17" s="13"/>
      <c r="G17" s="13"/>
    </row>
    <row r="18" spans="1:7" x14ac:dyDescent="0.25">
      <c r="A18" s="13"/>
      <c r="B18" s="13"/>
      <c r="C18" s="13"/>
      <c r="D18" s="13"/>
      <c r="E18" s="13"/>
      <c r="F18" s="13"/>
      <c r="G18" s="13"/>
    </row>
  </sheetData>
  <mergeCells count="1">
    <mergeCell ref="A16:G18"/>
  </mergeCells>
  <conditionalFormatting sqref="B6:B9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192</v>
      </c>
    </row>
    <row r="3" spans="1:2">
      <c r="A3" s="8" t="s">
        <v>193</v>
      </c>
    </row>
    <row r="4" spans="1:2">
      <c r="A4" s="9" t="s">
        <v>194</v>
      </c>
      <c r="B4" s="9" t="s">
        <v>195</v>
      </c>
    </row>
    <row r="5" spans="1:2">
      <c r="A5" s="9" t="s">
        <v>196</v>
      </c>
      <c r="B5" s="9" t="s">
        <v>31</v>
      </c>
    </row>
    <row r="6" spans="1:2">
      <c r="A6" s="9" t="s">
        <v>197</v>
      </c>
      <c r="B6" s="9" t="s">
        <v>198</v>
      </c>
    </row>
    <row r="7" spans="1:2">
      <c r="A7" s="9" t="s">
        <v>199</v>
      </c>
      <c r="B7" s="9" t="s">
        <v>200</v>
      </c>
    </row>
    <row r="8" spans="1:2">
      <c r="A8" s="9" t="s">
        <v>201</v>
      </c>
      <c r="B8" s="9" t="s">
        <v>68</v>
      </c>
    </row>
    <row r="9" spans="1:2">
      <c r="A9" s="9" t="s">
        <v>202</v>
      </c>
      <c r="B9" s="9" t="s">
        <v>25</v>
      </c>
    </row>
    <row r="10" spans="1:2">
      <c r="A10" s="9" t="s">
        <v>203</v>
      </c>
      <c r="B10" s="9" t="s">
        <v>204</v>
      </c>
    </row>
    <row r="11" spans="1:2">
      <c r="A11" s="9" t="s">
        <v>205</v>
      </c>
      <c r="B11" s="9" t="s">
        <v>206</v>
      </c>
    </row>
    <row r="12" spans="1:2">
      <c r="A12" s="9" t="s">
        <v>207</v>
      </c>
      <c r="B12" s="9" t="s">
        <v>208</v>
      </c>
    </row>
    <row r="13" spans="1:2">
      <c r="A13" s="9" t="s">
        <v>209</v>
      </c>
      <c r="B13" s="9" t="s">
        <v>24</v>
      </c>
    </row>
    <row r="14" spans="1:2">
      <c r="A14" s="9" t="s">
        <v>210</v>
      </c>
      <c r="B14" s="9" t="s">
        <v>206</v>
      </c>
    </row>
    <row r="16" spans="1:2">
      <c r="A16" s="8" t="s">
        <v>211</v>
      </c>
    </row>
    <row r="17" spans="1:2" ht="30" customHeight="1">
      <c r="A17" s="12" t="s">
        <v>212</v>
      </c>
      <c r="B17" s="13" t="s">
        <v>213</v>
      </c>
    </row>
    <row r="18" spans="1:2" ht="30" customHeight="1">
      <c r="A18" s="12" t="s">
        <v>214</v>
      </c>
      <c r="B18" s="13" t="s">
        <v>215</v>
      </c>
    </row>
    <row r="19" spans="1:2" ht="30" customHeight="1">
      <c r="A19" s="12" t="s">
        <v>216</v>
      </c>
      <c r="B19" s="13" t="s">
        <v>217</v>
      </c>
    </row>
    <row r="20" spans="1:2" ht="30" customHeight="1">
      <c r="A20" s="12" t="s">
        <v>218</v>
      </c>
      <c r="B20" s="13" t="s">
        <v>219</v>
      </c>
    </row>
    <row r="22" spans="1:2">
      <c r="A22" s="8" t="s">
        <v>220</v>
      </c>
    </row>
    <row r="23" spans="1:2" ht="32" customHeight="1">
      <c r="A23" s="21" t="s">
        <v>221</v>
      </c>
      <c r="B23" s="21"/>
    </row>
    <row r="24" spans="1:2" ht="32" customHeight="1">
      <c r="A24" s="21" t="s">
        <v>222</v>
      </c>
      <c r="B24" s="21"/>
    </row>
    <row r="25" spans="1:2" ht="32" customHeight="1">
      <c r="A25" s="21" t="s">
        <v>223</v>
      </c>
      <c r="B25" s="21"/>
    </row>
    <row r="26" spans="1:2" ht="32" customHeight="1">
      <c r="A26" s="21" t="s">
        <v>224</v>
      </c>
      <c r="B26" s="21"/>
    </row>
    <row r="27" spans="1:2" ht="32" customHeight="1">
      <c r="A27" s="21" t="s">
        <v>225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4"/>
  <sheetViews>
    <sheetView workbookViewId="0"/>
  </sheetViews>
  <sheetFormatPr defaultRowHeight="15"/>
  <sheetData>
    <row r="1" spans="1:61">
      <c r="A1" t="s">
        <v>0</v>
      </c>
      <c r="B1">
        <v>421.3537292480469</v>
      </c>
      <c r="C1">
        <v>393.7393798828125</v>
      </c>
      <c r="D1">
        <v>400.1088256835938</v>
      </c>
      <c r="E1">
        <v>381.1501770019531</v>
      </c>
      <c r="F1">
        <v>369.2198791503906</v>
      </c>
      <c r="G1">
        <v>390.8042297363281</v>
      </c>
      <c r="H1">
        <v>394.9174194335938</v>
      </c>
      <c r="I1">
        <v>408.3951416015625</v>
      </c>
      <c r="J1">
        <v>403.4133605957031</v>
      </c>
      <c r="K1">
        <v>418.6282348632812</v>
      </c>
      <c r="L1">
        <v>408.8244323730469</v>
      </c>
      <c r="M1">
        <v>418.0192260742188</v>
      </c>
      <c r="N1">
        <v>427.0742797851562</v>
      </c>
      <c r="O1">
        <v>433.3439025878906</v>
      </c>
      <c r="P1">
        <v>408.7745361328125</v>
      </c>
      <c r="Q1">
        <v>398.8309326171875</v>
      </c>
      <c r="R1">
        <v>413.9259948730469</v>
      </c>
      <c r="S1">
        <v>430.7481994628906</v>
      </c>
      <c r="T1">
        <v>424.5484619140625</v>
      </c>
      <c r="U1">
        <v>393.6694946289062</v>
      </c>
      <c r="V1">
        <v>411.1206359863281</v>
      </c>
      <c r="W1">
        <v>416.5915832519531</v>
      </c>
      <c r="X1">
        <v>431.2573547363281</v>
      </c>
      <c r="Y1">
        <v>449.4772644042969</v>
      </c>
      <c r="Z1">
        <v>434.2524108886719</v>
      </c>
      <c r="AA1">
        <v>426.4053649902344</v>
      </c>
      <c r="AB1">
        <v>456.7851867675781</v>
      </c>
      <c r="AC1">
        <v>411.9991760253906</v>
      </c>
      <c r="AD1">
        <v>390.7343444824219</v>
      </c>
      <c r="AE1">
        <v>395.6861267089844</v>
      </c>
      <c r="AF1">
        <v>381.25</v>
      </c>
      <c r="AG1">
        <v>404.1499938964844</v>
      </c>
      <c r="AH1">
        <v>441.7999877929688</v>
      </c>
      <c r="AI1">
        <v>439.3399963378906</v>
      </c>
      <c r="AJ1">
        <v>437.5</v>
      </c>
      <c r="AK1">
        <v>426.9100036621094</v>
      </c>
      <c r="AL1">
        <v>392.1000061035156</v>
      </c>
      <c r="AM1">
        <v>369.6400146484375</v>
      </c>
      <c r="AN1">
        <v>404.8099975585938</v>
      </c>
      <c r="AO1">
        <v>405.3699951171875</v>
      </c>
      <c r="AP1">
        <v>429.0199890136719</v>
      </c>
      <c r="AQ1">
        <v>467.2699890136719</v>
      </c>
      <c r="AR1">
        <v>462.7000122070312</v>
      </c>
      <c r="AS1">
        <v>437.6499938964844</v>
      </c>
      <c r="AT1">
        <v>453.7699890136719</v>
      </c>
      <c r="AU1">
        <v>457.8800048828125</v>
      </c>
      <c r="AV1">
        <v>440.9700012207031</v>
      </c>
      <c r="AW1">
        <v>484.5</v>
      </c>
      <c r="AX1">
        <v>494.510009765625</v>
      </c>
      <c r="AY1">
        <v>490.8099975585938</v>
      </c>
      <c r="AZ1">
        <v>479.8099975585938</v>
      </c>
      <c r="BA1">
        <v>468.6499938964844</v>
      </c>
      <c r="BB1">
        <v>437.5499877929688</v>
      </c>
      <c r="BC1">
        <v>434.7799987792969</v>
      </c>
      <c r="BD1">
        <v>442.0799865722656</v>
      </c>
      <c r="BE1">
        <v>433.1900024414062</v>
      </c>
      <c r="BF1">
        <v>451.5</v>
      </c>
      <c r="BG1">
        <v>463.8200073242188</v>
      </c>
      <c r="BH1">
        <v>472.260009765625</v>
      </c>
      <c r="BI1">
        <v>456.239990234375</v>
      </c>
    </row>
    <row r="2" spans="1:61">
      <c r="A2" t="s">
        <v>1</v>
      </c>
      <c r="B2">
        <v>995.8468627929688</v>
      </c>
      <c r="C2">
        <v>863.8771362304688</v>
      </c>
      <c r="D2">
        <v>949.134033203125</v>
      </c>
      <c r="E2">
        <v>935.74609375</v>
      </c>
      <c r="F2">
        <v>891.7428588867188</v>
      </c>
      <c r="G2">
        <v>995.7168579101562</v>
      </c>
      <c r="H2">
        <v>981.4590454101562</v>
      </c>
      <c r="I2">
        <v>1087.822631835938</v>
      </c>
      <c r="J2">
        <v>1020.60302734375</v>
      </c>
      <c r="K2">
        <v>1043.029541015625</v>
      </c>
      <c r="L2">
        <v>1133.815551757812</v>
      </c>
      <c r="M2">
        <v>1211.193725585938</v>
      </c>
      <c r="N2">
        <v>1051.608276367188</v>
      </c>
      <c r="O2">
        <v>1048.348754882812</v>
      </c>
      <c r="P2">
        <v>1213.373413085938</v>
      </c>
      <c r="Q2">
        <v>1132.155883789062</v>
      </c>
      <c r="R2">
        <v>1145.103881835938</v>
      </c>
      <c r="S2">
        <v>1154.112548828125</v>
      </c>
      <c r="T2">
        <v>1032.121337890625</v>
      </c>
      <c r="U2">
        <v>975.4099731445312</v>
      </c>
      <c r="V2">
        <v>984.75</v>
      </c>
      <c r="W2">
        <v>938.3800048828125</v>
      </c>
      <c r="X2">
        <v>948.7999877929688</v>
      </c>
      <c r="Y2">
        <v>991.6400146484375</v>
      </c>
      <c r="Z2">
        <v>979.2999877929688</v>
      </c>
      <c r="AA2">
        <v>937</v>
      </c>
      <c r="AB2">
        <v>983.1199951171875</v>
      </c>
      <c r="AC2">
        <v>904.280029296875</v>
      </c>
      <c r="AD2">
        <v>853.2000122070312</v>
      </c>
      <c r="AE2">
        <v>848.9500122070312</v>
      </c>
      <c r="AF2">
        <v>865.4600219726562</v>
      </c>
      <c r="AG2">
        <v>970.8200073242188</v>
      </c>
      <c r="AH2">
        <v>959.47998046875</v>
      </c>
      <c r="AI2">
        <v>990.2100219726562</v>
      </c>
      <c r="AJ2">
        <v>920.9500122070312</v>
      </c>
      <c r="AK2">
        <v>900.2000122070312</v>
      </c>
      <c r="AL2">
        <v>820.530029296875</v>
      </c>
      <c r="AM2">
        <v>739</v>
      </c>
      <c r="AN2">
        <v>874.6599731445312</v>
      </c>
      <c r="AO2">
        <v>823.030029296875</v>
      </c>
      <c r="AP2">
        <v>829.5</v>
      </c>
      <c r="AQ2">
        <v>892.6699829101562</v>
      </c>
      <c r="AR2">
        <v>893.1900024414062</v>
      </c>
      <c r="AS2">
        <v>881.469970703125</v>
      </c>
      <c r="AT2">
        <v>877.5700073242188</v>
      </c>
      <c r="AU2">
        <v>861</v>
      </c>
      <c r="AV2">
        <v>868.52001953125</v>
      </c>
      <c r="AW2">
        <v>911.2899780273438</v>
      </c>
      <c r="AX2">
        <v>949.8300170898438</v>
      </c>
      <c r="AY2">
        <v>971.6599731445312</v>
      </c>
      <c r="AZ2">
        <v>1011.75</v>
      </c>
      <c r="BA2">
        <v>940.760009765625</v>
      </c>
      <c r="BB2">
        <v>937.1099853515625</v>
      </c>
      <c r="BC2">
        <v>974.3300170898438</v>
      </c>
      <c r="BD2">
        <v>966.780029296875</v>
      </c>
      <c r="BE2">
        <v>910.4299926757812</v>
      </c>
      <c r="BF2">
        <v>932.969970703125</v>
      </c>
      <c r="BG2">
        <v>938.4000244140625</v>
      </c>
      <c r="BH2">
        <v>935.3900146484375</v>
      </c>
      <c r="BI2">
        <v>932.8599853515625</v>
      </c>
    </row>
    <row r="3" spans="1:61">
      <c r="A3" t="s">
        <v>2</v>
      </c>
      <c r="B3">
        <v>1759.680053710938</v>
      </c>
      <c r="C3">
        <v>1559.319946289062</v>
      </c>
      <c r="D3">
        <v>1642</v>
      </c>
      <c r="E3">
        <v>1646.5400390625</v>
      </c>
      <c r="F3">
        <v>1643.22998046875</v>
      </c>
      <c r="G3">
        <v>1881.510009765625</v>
      </c>
      <c r="H3">
        <v>1980.099975585938</v>
      </c>
      <c r="I3">
        <v>2107.860107421875</v>
      </c>
      <c r="J3">
        <v>1991.550048828125</v>
      </c>
      <c r="K3">
        <v>1958.800048828125</v>
      </c>
      <c r="L3">
        <v>2184.75</v>
      </c>
      <c r="M3">
        <v>2273.72998046875</v>
      </c>
      <c r="N3">
        <v>1963.599975585938</v>
      </c>
      <c r="O3">
        <v>1914.4599609375</v>
      </c>
      <c r="P3">
        <v>2335</v>
      </c>
      <c r="Q3">
        <v>2090.7099609375</v>
      </c>
      <c r="R3">
        <v>2050.389892578125</v>
      </c>
      <c r="S3">
        <v>2273.72998046875</v>
      </c>
      <c r="T3">
        <v>2032.219970703125</v>
      </c>
      <c r="U3">
        <v>1745</v>
      </c>
      <c r="V3">
        <v>1744.430053710938</v>
      </c>
      <c r="W3">
        <v>1617.699951171875</v>
      </c>
      <c r="X3">
        <v>1727.180053710938</v>
      </c>
      <c r="Y3">
        <v>1858.27001953125</v>
      </c>
      <c r="Z3">
        <v>1915.920043945312</v>
      </c>
      <c r="AA3">
        <v>1673.969970703125</v>
      </c>
      <c r="AB3">
        <v>1757.819946289062</v>
      </c>
      <c r="AC3">
        <v>1615</v>
      </c>
      <c r="AD3">
        <v>1411.079956054688</v>
      </c>
      <c r="AE3">
        <v>1354.819946289062</v>
      </c>
      <c r="AF3">
        <v>1390.949951171875</v>
      </c>
      <c r="AG3">
        <v>1589.400024414062</v>
      </c>
      <c r="AH3">
        <v>1599.27001953125</v>
      </c>
      <c r="AI3">
        <v>1610.329956054688</v>
      </c>
      <c r="AJ3">
        <v>1436.56005859375</v>
      </c>
      <c r="AK3">
        <v>1278.22998046875</v>
      </c>
      <c r="AL3">
        <v>1096.099975585938</v>
      </c>
      <c r="AM3">
        <v>1015.890014648438</v>
      </c>
      <c r="AN3">
        <v>1279.9599609375</v>
      </c>
      <c r="AO3">
        <v>1214.829956054688</v>
      </c>
      <c r="AP3">
        <v>1288.030029296875</v>
      </c>
      <c r="AQ3">
        <v>1427.619995117188</v>
      </c>
      <c r="AR3">
        <v>1350.5</v>
      </c>
      <c r="AS3">
        <v>1258.579956054688</v>
      </c>
      <c r="AT3">
        <v>1212.2099609375</v>
      </c>
      <c r="AU3">
        <v>1237.920043945312</v>
      </c>
      <c r="AV3">
        <v>1271.050048828125</v>
      </c>
      <c r="AW3">
        <v>1344.2900390625</v>
      </c>
      <c r="AX3">
        <v>1528.109985351562</v>
      </c>
      <c r="AY3">
        <v>1641.109985351562</v>
      </c>
      <c r="AZ3">
        <v>1786.849975585938</v>
      </c>
      <c r="BA3">
        <v>1625.780029296875</v>
      </c>
      <c r="BB3">
        <v>1568.869995117188</v>
      </c>
      <c r="BC3">
        <v>1600.619995117188</v>
      </c>
      <c r="BD3">
        <v>1596.079956054688</v>
      </c>
      <c r="BE3">
        <v>1493.119995117188</v>
      </c>
      <c r="BF3">
        <v>1480.77001953125</v>
      </c>
      <c r="BG3">
        <v>1499.369995117188</v>
      </c>
      <c r="BH3">
        <v>1484.949951171875</v>
      </c>
      <c r="BI3">
        <v>1484.97998046875</v>
      </c>
    </row>
    <row r="4" spans="1:61">
      <c r="A4" t="s">
        <v>3</v>
      </c>
      <c r="B4">
        <v>575.3499755859375</v>
      </c>
      <c r="C4">
        <v>511.7200012207031</v>
      </c>
      <c r="D4">
        <v>526.9299926757812</v>
      </c>
      <c r="E4">
        <v>517.719970703125</v>
      </c>
      <c r="F4">
        <v>490.0899963378906</v>
      </c>
      <c r="G4">
        <v>529.2899780273438</v>
      </c>
      <c r="H4">
        <v>562.9299926757812</v>
      </c>
      <c r="I4">
        <v>653.530029296875</v>
      </c>
      <c r="J4">
        <v>681.0800170898438</v>
      </c>
      <c r="K4">
        <v>712.1300048828125</v>
      </c>
      <c r="L4">
        <v>746.22998046875</v>
      </c>
      <c r="M4">
        <v>732.6199951171875</v>
      </c>
      <c r="N4">
        <v>670.75</v>
      </c>
      <c r="O4">
        <v>643.8300170898438</v>
      </c>
      <c r="P4">
        <v>675.3900146484375</v>
      </c>
      <c r="Q4">
        <v>586.4500122070312</v>
      </c>
      <c r="R4">
        <v>651.8800048828125</v>
      </c>
      <c r="S4">
        <v>638.719970703125</v>
      </c>
      <c r="T4">
        <v>598.3699951171875</v>
      </c>
      <c r="U4">
        <v>539</v>
      </c>
      <c r="V4">
        <v>577.4600219726562</v>
      </c>
      <c r="W4">
        <v>532.0999755859375</v>
      </c>
      <c r="X4">
        <v>550.2999877929688</v>
      </c>
      <c r="Y4">
        <v>578.0499877929688</v>
      </c>
      <c r="Z4">
        <v>582.5900268554688</v>
      </c>
      <c r="AA4">
        <v>555.5499877929688</v>
      </c>
      <c r="AB4">
        <v>563.3200073242188</v>
      </c>
      <c r="AC4">
        <v>513.8400268554688</v>
      </c>
      <c r="AD4">
        <v>466.8099975585938</v>
      </c>
      <c r="AE4">
        <v>477.2200012207031</v>
      </c>
      <c r="AF4">
        <v>487.4200134277344</v>
      </c>
      <c r="AG4">
        <v>548.3900146484375</v>
      </c>
      <c r="AH4">
        <v>556.6699829101562</v>
      </c>
      <c r="AI4">
        <v>558.2999877929688</v>
      </c>
      <c r="AJ4">
        <v>519.7999877929688</v>
      </c>
      <c r="AK4">
        <v>497.9200134277344</v>
      </c>
      <c r="AL4">
        <v>463.510009765625</v>
      </c>
      <c r="AM4">
        <v>462.0400085449219</v>
      </c>
      <c r="AN4">
        <v>533.0399780273438</v>
      </c>
      <c r="AO4">
        <v>544.8400268554688</v>
      </c>
      <c r="AP4">
        <v>527.219970703125</v>
      </c>
      <c r="AQ4">
        <v>548.5599975585938</v>
      </c>
      <c r="AR4">
        <v>519.1699829101562</v>
      </c>
      <c r="AS4">
        <v>451.5199890136719</v>
      </c>
      <c r="AT4">
        <v>434.2999877929688</v>
      </c>
      <c r="AU4">
        <v>438.3399963378906</v>
      </c>
      <c r="AV4">
        <v>437.9299926757812</v>
      </c>
      <c r="AW4">
        <v>454.1000061035156</v>
      </c>
      <c r="AX4">
        <v>487.2900085449219</v>
      </c>
      <c r="AY4">
        <v>508.7999877929688</v>
      </c>
      <c r="AZ4">
        <v>536.010009765625</v>
      </c>
      <c r="BA4">
        <v>496.1600036621094</v>
      </c>
      <c r="BB4">
        <v>462.0899963378906</v>
      </c>
      <c r="BC4">
        <v>469.0499877929688</v>
      </c>
      <c r="BD4">
        <v>459.4400024414062</v>
      </c>
      <c r="BE4">
        <v>435.3800048828125</v>
      </c>
      <c r="BF4">
        <v>450.75</v>
      </c>
      <c r="BG4">
        <v>468.8800048828125</v>
      </c>
      <c r="BH4">
        <v>462</v>
      </c>
      <c r="BI4">
        <v>459.4500122070312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2026-08-29T03:44:57Z</dcterms:created>
  <dcterms:modified xsi:type="dcterms:W3CDTF">2026-08-29T03:44:57Z</dcterms:modified>
</cp:coreProperties>
</file>