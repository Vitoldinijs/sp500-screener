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Позиции!$A$4:$P$21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<sst xmlns="http://schemas.openxmlformats.org/spreadsheetml/2006/main" count="452" uniqueCount="250">
  <si>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</si>
  <si>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</si>
  <si>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</si>
  <si>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</si>
  <si>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</si>
  <si>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</si>
  <si>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</si>
  <si>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</si>
  <si>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</si>
  <si>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</si>
  <si>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</si>
  <si>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</si>
  <si>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</si>
  <si>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</si>
  <si>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</si>
  <si>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</si>
  <si>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</si>
  <si>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</si>
  <si>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</si>
  <si>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</si>
  <si>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</si>
  <si>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</si>
  <si>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</si>
  <si>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</si>
  <si>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</si>
  <si>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</si>
  <si>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</si>
  <si>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</si>
  <si>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</si>
  <si>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</si>
  <si>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</si>
  <si>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</si>
  <si>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</si>
  <si>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</si>
  <si>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</si>
  <si>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</si>
  <si>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</si>
  <si>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</si>
  <si>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</si>
  <si>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</si>
  <si>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</si>
  <si>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</si>
  <si>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</si>
  <si>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</si>
  <si>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</si>
  <si>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</si>
  <si>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</si>
  <si>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</si>
  <si>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</si>
  <si>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</si>
  <si>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</si>
  <si>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</si>
  <si>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</si>
  <si>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</si>
  <si>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</si>
  <si>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</si>
  <si>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</si>
  <si>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</si>
  <si>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</si>
  <si>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</si>
  <si>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</si>
  <si>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</si>
  <si>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</si>
  <si>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</si>
  <si>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</si>
  <si>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</si>
  <si>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</si>
  <si>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</si>
  <si>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</si>
  <si>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</si>
  <si>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</si>
  <si>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</si>
  <si>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</si>
  <si>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</si>
  <si>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</si>
  <si>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</si>
  <si>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</si>
  <si>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</si>
  <si>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</si>
  <si>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</si>
  <si>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</si>
  <si>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</si>
  <si>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</si>
  <si>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</si>
  <si>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</si>
  <si>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</si>
  <si>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</si>
  <si>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</si>
  <si>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</si>
  <si>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</si>
  <si>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</si>
  <si>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</si>
  <si>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</si>
  <si>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</si>
  <si>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</si>
  <si>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</si>
  <si>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</si>
  <si>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</si>
  <si>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</si>
  <si>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</si>
  <si>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</si>
  <si>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</si>
  <si>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</si>
  <si>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</si>
  <si>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</si>
  <si>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</si>
  <si>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</si>
  <si>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</si>
  <si>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</si>
  <si>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</si>
  <si>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</si>
  <si>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</si>
  <si>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</si>
  <si>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</si>
  <si>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</si>
  <si>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</si>
  <si>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</si>
  <si>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SMCI</t>
  </si>
  <si>
    <t>Supermicro</t>
  </si>
  <si>
    <t>NTAP</t>
  </si>
  <si>
    <t>NetApp</t>
  </si>
  <si>
    <t>INTC</t>
  </si>
  <si>
    <t>Intel</t>
  </si>
  <si>
    <t>CRM</t>
  </si>
  <si>
    <t>Salesforce</t>
  </si>
  <si>
    <t>AMZN</t>
  </si>
  <si>
    <t>Amazon</t>
  </si>
  <si>
    <t>Consumer Discretionary</t>
  </si>
  <si>
    <t>ILMN</t>
  </si>
  <si>
    <t>Illumina, Inc.</t>
  </si>
  <si>
    <t>BIIB</t>
  </si>
  <si>
    <t>Biogen</t>
  </si>
  <si>
    <t>ZBRA</t>
  </si>
  <si>
    <t>Zebra Technologies</t>
  </si>
  <si>
    <t>DLTR</t>
  </si>
  <si>
    <t>Dollar Tree</t>
  </si>
  <si>
    <t>FTNT</t>
  </si>
  <si>
    <t>Fortinet</t>
  </si>
  <si>
    <t>STX</t>
  </si>
  <si>
    <t>Seagate Technology</t>
  </si>
  <si>
    <t>BMY</t>
  </si>
  <si>
    <t>Bristol Myers Squibb</t>
  </si>
  <si>
    <t>WBD</t>
  </si>
  <si>
    <t>Warner Bros. Discovery</t>
  </si>
  <si>
    <t>TER</t>
  </si>
  <si>
    <t>Teradyne</t>
  </si>
  <si>
    <t>WAT</t>
  </si>
  <si>
    <t>Waters Corporation</t>
  </si>
  <si>
    <t>LLY</t>
  </si>
  <si>
    <t>Lilly (Eli)</t>
  </si>
  <si>
    <t>COF</t>
  </si>
  <si>
    <t>Capital One</t>
  </si>
  <si>
    <t>CVX</t>
  </si>
  <si>
    <t>Chevron Corporation</t>
  </si>
  <si>
    <t>A</t>
  </si>
  <si>
    <t>Agilent Technologies</t>
  </si>
  <si>
    <t>BE</t>
  </si>
  <si>
    <t>Bloom Energy</t>
  </si>
  <si>
    <t>Industrials</t>
  </si>
  <si>
    <t>GS</t>
  </si>
  <si>
    <t>Goldman Sachs</t>
  </si>
  <si>
    <t>AMGN</t>
  </si>
  <si>
    <t>Amgen</t>
  </si>
  <si>
    <t>KEYS</t>
  </si>
  <si>
    <t>Keysight Technologies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</si>
  <si>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</si>
  <si>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</si>
  <si>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</si>
  <si>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</si>
  <si>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</si>
  <si>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</si>
  <si>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</si>
  <si>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</si>
  <si>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</si>
  <si>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</si>
  <si>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</si>
  <si>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</si>
  <si>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</si>
  <si>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</si>
  <si>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</si>
  <si>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</si>
  <si>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</si>
  <si>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</si>
  <si>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</si>
  <si>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</si>
  <si>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</si>
  <si>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</si>
  <si>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</si>
  <si>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</si>
  <si>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</si>
  <si>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</si>
  <si>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2026-09-28 19:27 UTC · данные на 2026-09-28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</si>
  <si>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</si>
  <si>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</si>
  <si>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</si>
  <si>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</si>
  <si>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</si>
  <si>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</si>
  <si>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</si>
  <si>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</si>
  <si>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</si>
  <si>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</si>
  <si>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</si>
  <si>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</si>
  <si>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</si>
  <si>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</si>
  <si>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</si>
  <si>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</si>
  <si>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</si>
  <si>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</si>
  <si>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</si>
  <si>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</si>
  <si>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</si>
  <si>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</si>
  <si>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</si>
  <si>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</si>
  <si>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</si>
  <si>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</si>
  <si>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2026-09-28 19:27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</si>
  <si>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</si>
  <si>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</si>
  <si>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</si>
  <si>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</si>
  <si>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</si>
  <si>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</si>
  <si>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</si>
  <si>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</si>
  <si>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</si>
  <si>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</si>
  <si>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</si>
  <si>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</si>
  <si>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</si>
  <si>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</si>
  <si>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2026-09-27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</si>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</sst>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Сводка!$B$33:$B$38</c:f>
              <c:strCache>
                <c:ptCount val="6"/>
                <c:pt idx="0">
                  <c:v>Information Technology</c:v>
                </c:pt>
                <c:pt idx="1">
                  <c:v>Energy</c:v>
                </c:pt>
                <c:pt idx="2">
                  <c:v>Communication Services</c:v>
                </c:pt>
                <c:pt idx="3">
                  <c:v>Health Care</c:v>
                </c:pt>
                <c:pt idx="4">
                  <c:v>Financials</c:v>
                </c:pt>
                <c:pt idx="5">
                  <c:v>Consumer Staples</c:v>
                </c:pt>
              </c:strCache>
            </c:strRef>
          </c:cat>
          <c:val>
            <c:numRef>
              <c:f>Сводка!$C$33:$C$38</c:f>
              <c:numCache>
                <c:formatCode>General</c:formatCode>
                <c:ptCount val="6"/>
                <c:pt idx="0">
                  <c:v>2655.1</c:v>
                </c:pt>
                <c:pt idx="1">
                  <c:v>2383.69</c:v>
                </c:pt>
                <c:pt idx="2">
                  <c:v>970.03</c:v>
                </c:pt>
                <c:pt idx="3">
                  <c:v>944.3199999999999</c:v>
                </c:pt>
                <c:pt idx="4">
                  <c:v>942.4200000000001</c:v>
                </c:pt>
                <c:pt idx="5">
                  <c:v>489.41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Капитал!$D$5:$D$22</c:f>
              <c:numCache>
                <c:formatCode>General</c:formatCode>
                <c:ptCount val="1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Капитал!$F$5:$F$22</c:f>
              <c:numCache>
                <c:formatCode>General</c:formatCode>
                <c:ptCount val="1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Капитал!$D$5:$D$22</c:f>
              <c:numCache>
                <c:formatCode>General</c:formatCode>
                <c:ptCount val="18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Капитал!$A$5:$A$22</c:f>
              <c:strCache>
                <c:ptCount val="18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</c:strCache>
            </c:strRef>
          </c:cat>
          <c:val>
            <c:numRef>
              <c:f>Капитал!$F$5:$F$22</c:f>
              <c:numCache>
                <c:formatCode>General</c:formatCode>
                <c:ptCount val="18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8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190</v>
      </c>
    </row>
    <row r="3" spans="2:8">
      <c r="B3" s="2" t="s">
        <v>191</v>
      </c>
    </row>
    <row r="5" spans="2:8">
      <c r="B5" s="3" t="s">
        <v>84</v>
      </c>
      <c r="D5" s="3" t="s">
        <v>192</v>
      </c>
      <c r="F5" s="3" t="s">
        <v>193</v>
      </c>
      <c r="H5" s="3" t="s">
        <v>194</v>
      </c>
    </row>
    <row r="6" spans="2:8">
      <c r="B6" s="4">
        <v>10217.93</v>
      </c>
      <c r="D6" s="5">
        <v>0.02179299999999995</v>
      </c>
      <c r="F6" s="5">
        <v>0.005962999999999941</v>
      </c>
      <c r="H6" s="6">
        <v>-0.005570108480505209</v>
      </c>
    </row>
    <row r="8" spans="2:8">
      <c r="B8" s="3" t="s">
        <v>195</v>
      </c>
      <c r="D8" s="3" t="s">
        <v>196</v>
      </c>
      <c r="F8" s="3" t="s">
        <v>197</v>
      </c>
      <c r="H8" s="3" t="s">
        <v>199</v>
      </c>
    </row>
    <row r="9" spans="2:8">
      <c r="B9" s="7">
        <v>3.272450923369867</v>
      </c>
      <c r="D9" s="7">
        <v>0</v>
      </c>
      <c r="F9" s="7" t="s">
        <v>198</v>
      </c>
      <c r="H9" s="7">
        <v>17</v>
      </c>
    </row>
    <row r="12" spans="2:8">
      <c r="B12" s="8" t="s">
        <v>200</v>
      </c>
    </row>
    <row r="13" spans="2:8">
      <c r="B13" s="9" t="s">
        <v>82</v>
      </c>
      <c r="C13" s="10">
        <v>1832.959999999999</v>
      </c>
    </row>
    <row r="14" spans="2:8">
      <c r="B14" s="9" t="s">
        <v>83</v>
      </c>
      <c r="C14" s="10">
        <v>8384.970000000001</v>
      </c>
    </row>
    <row r="15" spans="2:8">
      <c r="B15" s="9" t="s">
        <v>84</v>
      </c>
      <c r="C15" s="10">
        <v>10217.93</v>
      </c>
    </row>
    <row r="16" spans="2:8">
      <c r="B16" s="9" t="s">
        <v>201</v>
      </c>
      <c r="C16" s="10">
        <v>10000</v>
      </c>
    </row>
    <row r="17" spans="1:3">
      <c r="B17" s="9" t="s">
        <v>202</v>
      </c>
      <c r="C17" s="11">
        <v>21</v>
      </c>
    </row>
    <row r="18" spans="1:3">
      <c r="B18" s="9" t="s">
        <v>203</v>
      </c>
      <c r="C18" s="11">
        <v>3</v>
      </c>
    </row>
    <row r="19" spans="1:3">
      <c r="B19" s="9" t="s">
        <v>204</v>
      </c>
      <c r="C19" s="11">
        <v>1</v>
      </c>
    </row>
    <row r="20" spans="1:3">
      <c r="B20" s="9" t="s">
        <v>205</v>
      </c>
      <c r="C20" s="11">
        <v>21</v>
      </c>
    </row>
    <row r="21" spans="1:3">
      <c r="B21" s="9" t="s">
        <v>206</v>
      </c>
      <c r="C21" s="9" t="s">
        <v>198</v>
      </c>
    </row>
    <row r="22" spans="1:3">
      <c r="B22" s="9" t="s">
        <v>207</v>
      </c>
      <c r="C22" s="9" t="s">
        <v>198</v>
      </c>
    </row>
    <row r="23" spans="1:3">
      <c r="B23" s="9" t="s">
        <v>208</v>
      </c>
      <c r="C23" s="9" t="s">
        <v>198</v>
      </c>
    </row>
    <row r="24" spans="1:3">
      <c r="B24" s="9" t="s">
        <v>209</v>
      </c>
      <c r="C24" s="9" t="s">
        <v>198</v>
      </c>
    </row>
    <row r="25" spans="1:3">
      <c r="B25" s="9" t="s">
        <v>210</v>
      </c>
      <c r="C25" s="12">
        <v>0.09920364827193126</v>
      </c>
    </row>
    <row r="26" spans="1:3">
      <c r="B26" s="9" t="s">
        <v>211</v>
      </c>
      <c r="C26" s="11">
        <v>18</v>
      </c>
    </row>
    <row r="28" spans="1:3">
      <c r="B28" s="13" t="s">
        <v>212</v>
      </c>
      <c r="C28" s="10">
        <f>C13+IFERROR(SUM('Позиции'!I5:I200),0)</f>
        <v>10217.93</v>
      </c>
    </row>
    <row r="29" spans="1:3">
      <c r="B29" s="14" t="s">
        <v>213</v>
      </c>
    </row>
    <row r="31" spans="1:3">
      <c r="B31" s="8" t="s">
        <v>214</v>
      </c>
    </row>
    <row r="32" spans="1:3" ht="30" customHeight="1">
      <c r="A32" s="15" t="s">
        <v>21</v>
      </c>
      <c r="B32" s="15" t="s">
        <v>27</v>
      </c>
    </row>
    <row r="33" spans="2:3">
      <c r="B33" s="9" t="s">
        <v>36</v>
      </c>
      <c r="C33" s="10">
        <v>2655.1</v>
      </c>
    </row>
    <row r="34" spans="2:3">
      <c r="B34" s="9" t="s">
        <v>46</v>
      </c>
      <c r="C34" s="10">
        <v>2383.69</v>
      </c>
    </row>
    <row r="35" spans="2:3">
      <c r="B35" s="9" t="s">
        <v>59</v>
      </c>
      <c r="C35" s="10">
        <v>970.03</v>
      </c>
    </row>
    <row r="36" spans="2:3">
      <c r="B36" s="9" t="s">
        <v>61</v>
      </c>
      <c r="C36" s="10">
        <v>944.3199999999999</v>
      </c>
    </row>
    <row r="37" spans="2:3">
      <c r="B37" s="9" t="s">
        <v>57</v>
      </c>
      <c r="C37" s="10">
        <v>942.4200000000001</v>
      </c>
    </row>
    <row r="38" spans="2:3">
      <c r="B38" s="9" t="s">
        <v>66</v>
      </c>
      <c r="C38" s="10">
        <v>489.41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17</v>
      </c>
    </row>
    <row r="2" spans="1:16" x14ac:dyDescent="0.25">
      <c r="A2" s="2" t="s">
        <v>18</v>
      </c>
    </row>
    <row r="4" spans="1:16" ht="30" customHeight="1" x14ac:dyDescent="0.25">
      <c r="A4" s="15" t="s">
        <v>19</v>
      </c>
      <c r="B4" s="15" t="s">
        <v>20</v>
      </c>
      <c r="C4" s="15" t="s">
        <v>21</v>
      </c>
      <c r="D4" s="15" t="s">
        <v>22</v>
      </c>
      <c r="E4" s="15" t="s">
        <v>23</v>
      </c>
      <c r="F4" s="15" t="s">
        <v>24</v>
      </c>
      <c r="G4" s="15" t="s">
        <v>25</v>
      </c>
      <c r="H4" s="15" t="s">
        <v>26</v>
      </c>
      <c r="I4" s="15" t="s">
        <v>27</v>
      </c>
      <c r="J4" s="15" t="s">
        <v>28</v>
      </c>
      <c r="K4" s="15" t="s">
        <v>29</v>
      </c>
      <c r="L4" s="15" t="s">
        <v>30</v>
      </c>
      <c r="M4" s="15" t="s">
        <v>31</v>
      </c>
      <c r="N4" s="15" t="s">
        <v>32</v>
      </c>
      <c r="O4" s="15" t="s">
        <v>33</v>
      </c>
      <c r="P4" s="15" t="s">
        <v>34</v>
      </c>
    </row>
    <row r="5" spans="1:16" x14ac:dyDescent="0.25">
      <c r="A5" s="9" t="s">
        <v>0</v>
      </c>
      <c r="B5" s="9" t="s">
        <v>35</v>
      </c>
      <c r="C5" s="9" t="s">
        <v>36</v>
      </c>
      <c r="D5" s="16" t="s">
        <v>37</v>
      </c>
      <c r="E5" s="10">
        <v>443.1115</v>
      </c>
      <c r="F5" s="17">
        <v>1.074651</v>
      </c>
      <c r="G5" s="10">
        <v>476.19</v>
      </c>
      <c r="H5" s="18">
        <v>543.525</v>
      </c>
      <c r="I5" s="10">
        <f>F5*H5</f>
        <v>584.099684775</v>
      </c>
      <c r="J5" s="10">
        <f>I5-G5</f>
        <v>107.90968477500002</v>
      </c>
      <c r="K5" s="19">
        <f>IFERROR(J5/G5,0)</f>
        <v>0.22661056463806467</v>
      </c>
      <c r="L5" s="11">
        <v>16</v>
      </c>
      <c r="M5" s="11">
        <f>MAX(0,21-L5)</f>
        <v>5</v>
      </c>
      <c r="N5" s="20">
        <v>2.927623067210654</v>
      </c>
      <c r="O5" s="9" t="s">
        <v>38</v>
      </c>
    </row>
    <row r="6" spans="1:16" x14ac:dyDescent="0.25">
      <c r="A6" s="9" t="s">
        <v>1</v>
      </c>
      <c r="B6" s="9" t="s">
        <v>39</v>
      </c>
      <c r="C6" s="9" t="s">
        <v>36</v>
      </c>
      <c r="D6" s="16" t="s">
        <v>40</v>
      </c>
      <c r="E6" s="10">
        <v>926.2029</v>
      </c>
      <c r="F6" s="17">
        <v>0.5145960000000001</v>
      </c>
      <c r="G6" s="10">
        <v>476.62</v>
      </c>
      <c r="H6" s="18">
        <v>1056.73</v>
      </c>
      <c r="I6" s="10">
        <f>F6*H6</f>
        <v>543.7890310800001</v>
      </c>
      <c r="J6" s="10">
        <f>I6-G6</f>
        <v>67.16903108000008</v>
      </c>
      <c r="K6" s="19">
        <f>IFERROR(J6/G6,0)</f>
        <v>0.14092784834878958</v>
      </c>
      <c r="L6" s="11">
        <v>15</v>
      </c>
      <c r="M6" s="11">
        <f>MAX(0,21-L6)</f>
        <v>6</v>
      </c>
      <c r="N6" s="20">
        <v>1.809956883354321</v>
      </c>
      <c r="O6" s="9" t="s">
        <v>38</v>
      </c>
    </row>
    <row r="7" spans="1:16" x14ac:dyDescent="0.25">
      <c r="A7" s="9" t="s">
        <v>2</v>
      </c>
      <c r="B7" s="9" t="s">
        <v>41</v>
      </c>
      <c r="C7" s="9" t="s">
        <v>36</v>
      </c>
      <c r="D7" s="16" t="s">
        <v>42</v>
      </c>
      <c r="E7" s="10">
        <v>1550.1948</v>
      </c>
      <c r="F7" s="17">
        <v>0.308058</v>
      </c>
      <c r="G7" s="10">
        <v>477.55</v>
      </c>
      <c r="H7" s="18">
        <v>1710.0551</v>
      </c>
      <c r="I7" s="10">
        <f>F7*H7</f>
        <v>526.7961539958</v>
      </c>
      <c r="J7" s="10">
        <f>I7-G7</f>
        <v>49.24615399579994</v>
      </c>
      <c r="K7" s="19">
        <f>IFERROR(J7/G7,0)</f>
        <v>0.10312250862904396</v>
      </c>
      <c r="L7" s="11">
        <v>14</v>
      </c>
      <c r="M7" s="11">
        <f>MAX(0,21-L7)</f>
        <v>7</v>
      </c>
      <c r="N7" s="20">
        <v>1.655247920227722</v>
      </c>
      <c r="O7" s="9" t="s">
        <v>38</v>
      </c>
    </row>
    <row r="8" spans="1:16" x14ac:dyDescent="0.25">
      <c r="A8" s="9" t="s">
        <v>3</v>
      </c>
      <c r="B8" s="9" t="s">
        <v>43</v>
      </c>
      <c r="C8" s="9" t="s">
        <v>36</v>
      </c>
      <c r="D8" s="16" t="s">
        <v>44</v>
      </c>
      <c r="E8" s="10">
        <v>462.5311</v>
      </c>
      <c r="F8" s="17">
        <v>1.031174</v>
      </c>
      <c r="G8" s="10">
        <v>476.95</v>
      </c>
      <c r="H8" s="18">
        <v>457.55</v>
      </c>
      <c r="I8" s="10">
        <f>F8*H8</f>
        <v>471.8136637</v>
      </c>
      <c r="J8" s="10">
        <f>I8-G8</f>
        <v>-5.136336299999982</v>
      </c>
      <c r="K8" s="19">
        <f>IFERROR(J8/G8,0)</f>
        <v>-0.010769129468497708</v>
      </c>
      <c r="L8" s="11">
        <v>13</v>
      </c>
      <c r="M8" s="11">
        <f>MAX(0,21-L8)</f>
        <v>8</v>
      </c>
      <c r="N8" s="20">
        <v>1.135451734784544</v>
      </c>
      <c r="O8" s="9" t="s">
        <v>38</v>
      </c>
    </row>
    <row r="9" spans="1:16" x14ac:dyDescent="0.25">
      <c r="A9" s="9" t="s">
        <v>4</v>
      </c>
      <c r="B9" s="9" t="s">
        <v>45</v>
      </c>
      <c r="C9" s="9" t="s">
        <v>46</v>
      </c>
      <c r="D9" s="16" t="s">
        <v>47</v>
      </c>
      <c r="E9" s="10">
        <v>360.14</v>
      </c>
      <c r="F9" s="17">
        <v>1.321486</v>
      </c>
      <c r="G9" s="10">
        <v>475.92</v>
      </c>
      <c r="H9" s="18">
        <v>389.62</v>
      </c>
      <c r="I9" s="10">
        <f>F9*H9</f>
        <v>514.8773753199999</v>
      </c>
      <c r="J9" s="10">
        <f>I9-G9</f>
        <v>38.957375319999926</v>
      </c>
      <c r="K9" s="19">
        <f>IFERROR(J9/G9,0)</f>
        <v>0.0818569829383088</v>
      </c>
      <c r="L9" s="11">
        <v>12</v>
      </c>
      <c r="M9" s="11">
        <f>MAX(0,21-L9)</f>
        <v>9</v>
      </c>
      <c r="N9" s="20">
        <v>1.098454348098604</v>
      </c>
      <c r="O9" s="9" t="s">
        <v>38</v>
      </c>
    </row>
    <row r="10" spans="1:16" x14ac:dyDescent="0.25">
      <c r="A10" s="9" t="s">
        <v>5</v>
      </c>
      <c r="B10" s="9" t="s">
        <v>48</v>
      </c>
      <c r="C10" s="9" t="s">
        <v>46</v>
      </c>
      <c r="D10" s="16" t="s">
        <v>49</v>
      </c>
      <c r="E10" s="10">
        <v>380.9704</v>
      </c>
      <c r="F10" s="17">
        <v>1.252643</v>
      </c>
      <c r="G10" s="10">
        <v>477.22</v>
      </c>
      <c r="H10" s="18">
        <v>389.515</v>
      </c>
      <c r="I10" s="10">
        <f>F10*H10</f>
        <v>487.92323814499997</v>
      </c>
      <c r="J10" s="10">
        <f>I10-G10</f>
        <v>10.703238144999943</v>
      </c>
      <c r="K10" s="19">
        <f>IFERROR(J10/G10,0)</f>
        <v>0.022428310098067856</v>
      </c>
      <c r="L10" s="11">
        <v>11</v>
      </c>
      <c r="M10" s="11">
        <f>MAX(0,21-L10)</f>
        <v>10</v>
      </c>
      <c r="N10" s="20">
        <v>0.9280120270881818</v>
      </c>
      <c r="O10" s="9" t="s">
        <v>38</v>
      </c>
    </row>
    <row r="11" spans="1:16" x14ac:dyDescent="0.25">
      <c r="A11" s="9" t="s">
        <v>6</v>
      </c>
      <c r="B11" s="9" t="s">
        <v>50</v>
      </c>
      <c r="C11" s="9" t="s">
        <v>46</v>
      </c>
      <c r="D11" s="16" t="s">
        <v>51</v>
      </c>
      <c r="E11" s="10">
        <v>60.1501</v>
      </c>
      <c r="F11" s="17">
        <v>7.895088</v>
      </c>
      <c r="G11" s="10">
        <v>474.89</v>
      </c>
      <c r="H11" s="18">
        <v>56.165</v>
      </c>
      <c r="I11" s="10">
        <f>F11*H11</f>
        <v>443.42761752</v>
      </c>
      <c r="J11" s="10">
        <f>I11-G11</f>
        <v>-31.462382479999974</v>
      </c>
      <c r="K11" s="19">
        <f>IFERROR(J11/G11,0)</f>
        <v>-0.06625193724862595</v>
      </c>
      <c r="L11" s="11">
        <v>8</v>
      </c>
      <c r="M11" s="11">
        <f>MAX(0,21-L11)</f>
        <v>13</v>
      </c>
      <c r="N11" s="20">
        <v>0.8840484909760108</v>
      </c>
      <c r="O11" s="9" t="s">
        <v>38</v>
      </c>
    </row>
    <row r="12" spans="1:16" x14ac:dyDescent="0.25">
      <c r="A12" s="9" t="s">
        <v>7</v>
      </c>
      <c r="B12" s="9" t="s">
        <v>52</v>
      </c>
      <c r="C12" s="9" t="s">
        <v>46</v>
      </c>
      <c r="D12" s="16" t="s">
        <v>51</v>
      </c>
      <c r="E12" s="10">
        <v>251.9059</v>
      </c>
      <c r="F12" s="17">
        <v>1.885188</v>
      </c>
      <c r="G12" s="10">
        <v>474.89</v>
      </c>
      <c r="H12" s="18">
        <v>253.28</v>
      </c>
      <c r="I12" s="10">
        <f>F12*H12</f>
        <v>477.48041664000004</v>
      </c>
      <c r="J12" s="10">
        <f>I12-G12</f>
        <v>2.5904166400000577</v>
      </c>
      <c r="K12" s="19">
        <f>IFERROR(J12/G12,0)</f>
        <v>0.005454771926130383</v>
      </c>
      <c r="L12" s="11">
        <v>8</v>
      </c>
      <c r="M12" s="11">
        <f>MAX(0,21-L12)</f>
        <v>13</v>
      </c>
      <c r="N12" s="20">
        <v>0.8298272742812407</v>
      </c>
      <c r="O12" s="9" t="s">
        <v>38</v>
      </c>
    </row>
    <row r="13" spans="1:16" x14ac:dyDescent="0.25">
      <c r="A13" s="9" t="s">
        <v>8</v>
      </c>
      <c r="B13" s="9" t="s">
        <v>53</v>
      </c>
      <c r="C13" s="9" t="s">
        <v>46</v>
      </c>
      <c r="D13" s="16" t="s">
        <v>51</v>
      </c>
      <c r="E13" s="10">
        <v>43.7018</v>
      </c>
      <c r="F13" s="17">
        <v>10.86659</v>
      </c>
      <c r="G13" s="10">
        <v>474.89</v>
      </c>
      <c r="H13" s="18">
        <v>42.33</v>
      </c>
      <c r="I13" s="10">
        <f>F13*H13</f>
        <v>459.9827547</v>
      </c>
      <c r="J13" s="10">
        <f>I13-G13</f>
        <v>-14.9072453</v>
      </c>
      <c r="K13" s="19">
        <f>IFERROR(J13/G13,0)</f>
        <v>-0.031390943797511</v>
      </c>
      <c r="L13" s="11">
        <v>8</v>
      </c>
      <c r="M13" s="11">
        <f>MAX(0,21-L13)</f>
        <v>13</v>
      </c>
      <c r="N13" s="20">
        <v>0.7019116395441239</v>
      </c>
      <c r="O13" s="9" t="s">
        <v>38</v>
      </c>
    </row>
    <row r="14" spans="1:16" x14ac:dyDescent="0.25">
      <c r="A14" s="9" t="s">
        <v>9</v>
      </c>
      <c r="B14" s="9" t="s">
        <v>54</v>
      </c>
      <c r="C14" s="9" t="s">
        <v>36</v>
      </c>
      <c r="D14" s="16" t="s">
        <v>55</v>
      </c>
      <c r="E14" s="10">
        <v>211.3456</v>
      </c>
      <c r="F14" s="17">
        <v>2.301822</v>
      </c>
      <c r="G14" s="10">
        <v>486.48</v>
      </c>
      <c r="H14" s="18">
        <v>229.645</v>
      </c>
      <c r="I14" s="10">
        <f>F14*H14</f>
        <v>528.60191319</v>
      </c>
      <c r="J14" s="10">
        <f>I14-G14</f>
        <v>42.12191318999999</v>
      </c>
      <c r="K14" s="19">
        <f>IFERROR(J14/G14,0)</f>
        <v>0.08658508713616178</v>
      </c>
      <c r="L14" s="11">
        <v>4</v>
      </c>
      <c r="M14" s="11">
        <f>MAX(0,21-L14)</f>
        <v>17</v>
      </c>
      <c r="N14" s="20">
        <v>0.6809721702367264</v>
      </c>
      <c r="O14" s="9" t="s">
        <v>38</v>
      </c>
    </row>
    <row r="15" spans="1:16" x14ac:dyDescent="0.25">
      <c r="A15" s="9" t="s">
        <v>10</v>
      </c>
      <c r="B15" s="9" t="s">
        <v>56</v>
      </c>
      <c r="C15" s="9" t="s">
        <v>57</v>
      </c>
      <c r="D15" s="16" t="s">
        <v>55</v>
      </c>
      <c r="E15" s="10">
        <v>383.1915</v>
      </c>
      <c r="F15" s="17">
        <v>1.269548</v>
      </c>
      <c r="G15" s="10">
        <v>486.48</v>
      </c>
      <c r="H15" s="18">
        <v>363.165</v>
      </c>
      <c r="I15" s="10">
        <f>F15*H15</f>
        <v>461.05539942</v>
      </c>
      <c r="J15" s="10">
        <f>I15-G15</f>
        <v>-25.424600580000003</v>
      </c>
      <c r="K15" s="19">
        <f>IFERROR(J15/G15,0)</f>
        <v>-0.05226237580167736</v>
      </c>
      <c r="L15" s="11">
        <v>4</v>
      </c>
      <c r="M15" s="11">
        <f>MAX(0,21-L15)</f>
        <v>17</v>
      </c>
      <c r="N15" s="20">
        <v>0.8197914702434592</v>
      </c>
      <c r="O15" s="9" t="s">
        <v>38</v>
      </c>
    </row>
    <row r="16" spans="1:16" x14ac:dyDescent="0.25">
      <c r="A16" s="9" t="s">
        <v>11</v>
      </c>
      <c r="B16" s="9" t="s">
        <v>58</v>
      </c>
      <c r="C16" s="9" t="s">
        <v>59</v>
      </c>
      <c r="D16" s="16" t="s">
        <v>55</v>
      </c>
      <c r="E16" s="10">
        <v>339.2795</v>
      </c>
      <c r="F16" s="17">
        <v>1.433862</v>
      </c>
      <c r="G16" s="10">
        <v>486.48</v>
      </c>
      <c r="H16" s="18">
        <v>338.31</v>
      </c>
      <c r="I16" s="10">
        <f>F16*H16</f>
        <v>485.08985322</v>
      </c>
      <c r="J16" s="10">
        <f>I16-G16</f>
        <v>-1.3901467800000091</v>
      </c>
      <c r="K16" s="19">
        <f>IFERROR(J16/G16,0)</f>
        <v>-0.002857562037493852</v>
      </c>
      <c r="L16" s="11">
        <v>4</v>
      </c>
      <c r="M16" s="11">
        <f>MAX(0,21-L16)</f>
        <v>17</v>
      </c>
      <c r="N16" s="20">
        <v>0.776423257523575</v>
      </c>
      <c r="O16" s="9" t="s">
        <v>38</v>
      </c>
    </row>
    <row r="17" spans="1:15" x14ac:dyDescent="0.25">
      <c r="A17" s="9" t="s">
        <v>12</v>
      </c>
      <c r="B17" s="9" t="s">
        <v>60</v>
      </c>
      <c r="C17" s="9" t="s">
        <v>61</v>
      </c>
      <c r="D17" s="16" t="s">
        <v>55</v>
      </c>
      <c r="E17" s="10">
        <v>67.3437</v>
      </c>
      <c r="F17" s="17">
        <v>7.223843</v>
      </c>
      <c r="G17" s="10">
        <v>486.48</v>
      </c>
      <c r="H17" s="18">
        <v>62.2783</v>
      </c>
      <c r="I17" s="10">
        <f>F17*H17</f>
        <v>449.8886615069</v>
      </c>
      <c r="J17" s="10">
        <f>I17-G17</f>
        <v>-36.59133849310001</v>
      </c>
      <c r="K17" s="19">
        <f>IFERROR(J17/G17,0)</f>
        <v>-0.07521653201179906</v>
      </c>
      <c r="L17" s="11">
        <v>4</v>
      </c>
      <c r="M17" s="11">
        <f>MAX(0,21-L17)</f>
        <v>17</v>
      </c>
      <c r="N17" s="20">
        <v>0.7994794227521653</v>
      </c>
      <c r="O17" s="9" t="s">
        <v>38</v>
      </c>
    </row>
    <row r="18" spans="1:15" x14ac:dyDescent="0.25">
      <c r="A18" s="9" t="s">
        <v>13</v>
      </c>
      <c r="B18" s="9" t="s">
        <v>62</v>
      </c>
      <c r="C18" s="9" t="s">
        <v>59</v>
      </c>
      <c r="D18" s="16" t="s">
        <v>63</v>
      </c>
      <c r="E18" s="10">
        <v>340.8704</v>
      </c>
      <c r="F18" s="17">
        <v>1.419895</v>
      </c>
      <c r="G18" s="10">
        <v>484</v>
      </c>
      <c r="H18" s="18">
        <v>341.53</v>
      </c>
      <c r="I18" s="10">
        <f>F18*H18</f>
        <v>484.9367393499999</v>
      </c>
      <c r="J18" s="10">
        <f>I18-G18</f>
        <v>0.9367393499999253</v>
      </c>
      <c r="K18" s="19">
        <f>IFERROR(J18/G18,0)</f>
        <v>0.0019354118801651347</v>
      </c>
      <c r="L18" s="11">
        <v>0</v>
      </c>
      <c r="M18" s="11">
        <f>MAX(0,21-L18)</f>
        <v>21</v>
      </c>
      <c r="N18" s="20">
        <v>0.8410723709429708</v>
      </c>
      <c r="O18" s="9" t="s">
        <v>38</v>
      </c>
    </row>
    <row r="19" spans="1:15" x14ac:dyDescent="0.25">
      <c r="A19" s="9" t="s">
        <v>14</v>
      </c>
      <c r="B19" s="9" t="s">
        <v>64</v>
      </c>
      <c r="C19" s="9" t="s">
        <v>57</v>
      </c>
      <c r="D19" s="16" t="s">
        <v>63</v>
      </c>
      <c r="E19" s="10">
        <v>228.7943</v>
      </c>
      <c r="F19" s="17">
        <v>2.115437</v>
      </c>
      <c r="G19" s="10">
        <v>484</v>
      </c>
      <c r="H19" s="18">
        <v>227.545</v>
      </c>
      <c r="I19" s="10">
        <f>F19*H19</f>
        <v>481.357112165</v>
      </c>
      <c r="J19" s="10">
        <f>I19-G19</f>
        <v>-2.6428878350000105</v>
      </c>
      <c r="K19" s="19">
        <f>IFERROR(J19/G19,0)</f>
        <v>-0.005460512055785145</v>
      </c>
      <c r="L19" s="11">
        <v>0</v>
      </c>
      <c r="M19" s="11">
        <f>MAX(0,21-L19)</f>
        <v>21</v>
      </c>
      <c r="N19" s="20">
        <v>0.6643531276938139</v>
      </c>
      <c r="O19" s="9" t="s">
        <v>38</v>
      </c>
    </row>
    <row r="20" spans="1:15" x14ac:dyDescent="0.25">
      <c r="A20" s="9" t="s">
        <v>15</v>
      </c>
      <c r="B20" s="9" t="s">
        <v>65</v>
      </c>
      <c r="C20" s="9" t="s">
        <v>66</v>
      </c>
      <c r="D20" s="16" t="s">
        <v>63</v>
      </c>
      <c r="E20" s="10">
        <v>156.6783</v>
      </c>
      <c r="F20" s="17">
        <v>3.089132</v>
      </c>
      <c r="G20" s="10">
        <v>484</v>
      </c>
      <c r="H20" s="18">
        <v>158.43</v>
      </c>
      <c r="I20" s="10">
        <f>F20*H20</f>
        <v>489.41118276000003</v>
      </c>
      <c r="J20" s="10">
        <f>I20-G20</f>
        <v>5.411182760000031</v>
      </c>
      <c r="K20" s="19">
        <f>IFERROR(J20/G20,0)</f>
        <v>0.011180129669421552</v>
      </c>
      <c r="L20" s="11">
        <v>0</v>
      </c>
      <c r="M20" s="11">
        <f>MAX(0,21-L20)</f>
        <v>21</v>
      </c>
      <c r="N20" s="20">
        <v>0.6369924288836575</v>
      </c>
      <c r="O20" s="9" t="s">
        <v>38</v>
      </c>
    </row>
    <row r="21" spans="1:15" x14ac:dyDescent="0.25">
      <c r="A21" s="9" t="s">
        <v>16</v>
      </c>
      <c r="B21" s="9" t="s">
        <v>67</v>
      </c>
      <c r="C21" s="9" t="s">
        <v>61</v>
      </c>
      <c r="D21" s="16" t="s">
        <v>63</v>
      </c>
      <c r="E21" s="10">
        <v>123.3216</v>
      </c>
      <c r="F21" s="17">
        <v>3.924697</v>
      </c>
      <c r="G21" s="10">
        <v>484</v>
      </c>
      <c r="H21" s="18">
        <v>125.98</v>
      </c>
      <c r="I21" s="10">
        <f>F21*H21</f>
        <v>494.43332806</v>
      </c>
      <c r="J21" s="10">
        <f>I21-G21</f>
        <v>10.433328060000008</v>
      </c>
      <c r="K21" s="19">
        <f>IFERROR(J21/G21,0)</f>
        <v>0.021556462933884316</v>
      </c>
      <c r="L21" s="11">
        <v>0</v>
      </c>
      <c r="M21" s="11">
        <f>MAX(0,21-L21)</f>
        <v>21</v>
      </c>
      <c r="N21" s="20">
        <v>0.662112373894027</v>
      </c>
      <c r="O21" s="9" t="s">
        <v>38</v>
      </c>
    </row>
    <row r="22" spans="1:15" x14ac:dyDescent="0.25">
      <c r="F22" s="13" t="s">
        <v>68</v>
      </c>
      <c r="G22" s="10">
        <f>SUM(G5:G21)</f>
        <v>8167.039999999999</v>
      </c>
      <c r="I22" s="10">
        <f>SUM(I5:I21)</f>
        <v>8384.970000000001</v>
      </c>
      <c r="J22" s="10">
        <f>SUM(J5:J21)</f>
        <v>217.92999999999995</v>
      </c>
      <c r="K22" s="19">
        <f>IFERROR(J22/G22,0)</f>
        <v>0</v>
      </c>
    </row>
  </sheetData>
  <autoFilter ref="A4:P21"/>
  <conditionalFormatting sqref="K5:K21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1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M5:M21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69</v>
      </c>
    </row>
    <row r="2" spans="1:15">
      <c r="A2" s="2" t="s">
        <v>70</v>
      </c>
    </row>
    <row r="4" spans="1:15" ht="30" customHeight="1">
      <c r="A4" s="15" t="s">
        <v>71</v>
      </c>
      <c r="B4" s="15" t="s">
        <v>19</v>
      </c>
      <c r="C4" s="15" t="s">
        <v>21</v>
      </c>
      <c r="D4" s="15" t="s">
        <v>72</v>
      </c>
      <c r="E4" s="15" t="s">
        <v>23</v>
      </c>
      <c r="F4" s="15" t="s">
        <v>73</v>
      </c>
      <c r="G4" s="15" t="s">
        <v>74</v>
      </c>
      <c r="H4" s="15" t="s">
        <v>24</v>
      </c>
      <c r="I4" s="15" t="s">
        <v>25</v>
      </c>
      <c r="J4" s="15" t="s">
        <v>75</v>
      </c>
      <c r="K4" s="15" t="s">
        <v>28</v>
      </c>
      <c r="L4" s="15" t="s">
        <v>29</v>
      </c>
      <c r="M4" s="15" t="s">
        <v>76</v>
      </c>
      <c r="N4" s="15" t="s">
        <v>32</v>
      </c>
      <c r="O4" s="15" t="s">
        <v>77</v>
      </c>
    </row>
    <row r="5" spans="1:15">
      <c r="A5" s="14" t="s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79</v>
      </c>
    </row>
    <row r="2" spans="1:6">
      <c r="A2" s="2" t="s">
        <v>80</v>
      </c>
    </row>
    <row r="4" spans="1:6" ht="30" customHeight="1">
      <c r="A4" s="15" t="s">
        <v>81</v>
      </c>
      <c r="B4" s="15" t="s">
        <v>82</v>
      </c>
      <c r="C4" s="15" t="s">
        <v>83</v>
      </c>
      <c r="D4" s="15" t="s">
        <v>84</v>
      </c>
      <c r="E4" s="15" t="s">
        <v>85</v>
      </c>
      <c r="F4" s="15" t="s">
        <v>86</v>
      </c>
    </row>
    <row r="5" spans="1:6">
      <c r="A5" s="16" t="s">
        <v>87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37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40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42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44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47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49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88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89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51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90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91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92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55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93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94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95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63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96</v>
      </c>
    </row>
    <row r="2" spans="1:20" x14ac:dyDescent="0.25">
      <c r="A2" s="2" t="s">
        <v>97</v>
      </c>
    </row>
    <row r="4" spans="1:20" ht="30" customHeight="1" x14ac:dyDescent="0.25">
      <c r="A4" s="15" t="s">
        <v>71</v>
      </c>
      <c r="B4" s="15" t="s">
        <v>19</v>
      </c>
      <c r="C4" s="15" t="s">
        <v>20</v>
      </c>
      <c r="D4" s="15" t="s">
        <v>21</v>
      </c>
      <c r="E4" s="15" t="s">
        <v>98</v>
      </c>
      <c r="F4" s="15" t="s">
        <v>99</v>
      </c>
      <c r="G4" s="15" t="s">
        <v>100</v>
      </c>
      <c r="H4" s="15" t="s">
        <v>101</v>
      </c>
      <c r="I4" s="15" t="s">
        <v>102</v>
      </c>
      <c r="J4" s="15" t="s">
        <v>103</v>
      </c>
      <c r="K4" s="15" t="s">
        <v>104</v>
      </c>
      <c r="L4" s="15" t="s">
        <v>105</v>
      </c>
      <c r="M4" s="15" t="s">
        <v>106</v>
      </c>
      <c r="N4" s="15" t="s">
        <v>107</v>
      </c>
      <c r="O4" s="15" t="s">
        <v>108</v>
      </c>
      <c r="P4" s="15" t="s">
        <v>109</v>
      </c>
      <c r="Q4" s="15" t="s">
        <v>110</v>
      </c>
      <c r="R4" s="15" t="s">
        <v>111</v>
      </c>
      <c r="S4" s="15" t="s">
        <v>112</v>
      </c>
      <c r="T4" s="15" t="s">
        <v>113</v>
      </c>
    </row>
    <row r="5" spans="1:20" x14ac:dyDescent="0.25">
      <c r="A5" s="11">
        <v>1</v>
      </c>
      <c r="B5" s="9" t="s">
        <v>1</v>
      </c>
      <c r="C5" s="9" t="s">
        <v>39</v>
      </c>
      <c r="D5" s="9" t="s">
        <v>36</v>
      </c>
      <c r="E5" s="10">
        <v>1056.72998046875</v>
      </c>
      <c r="F5" s="17">
        <v>1.209857049266151</v>
      </c>
      <c r="G5" s="20">
        <v>-0.5652307531380691</v>
      </c>
      <c r="H5" s="20">
        <v>1.81254945205279</v>
      </c>
      <c r="I5" s="20">
        <v>3.949484521250298</v>
      </c>
      <c r="J5" s="20">
        <v>2.156576916218938</v>
      </c>
      <c r="K5" s="20">
        <v>0</v>
      </c>
      <c r="L5" s="20">
        <v>-2.838315879574414</v>
      </c>
      <c r="M5" s="20">
        <v>0.05981565467966299</v>
      </c>
      <c r="N5" s="20">
        <v>24.447256</v>
      </c>
      <c r="O5" s="20">
        <v>12.131145</v>
      </c>
      <c r="P5" s="12">
        <v>0.66638</v>
      </c>
      <c r="Q5" s="12">
        <v>3.457</v>
      </c>
      <c r="R5" s="12">
        <v>1.95990296332831</v>
      </c>
      <c r="S5" s="11">
        <v>58.78871377847319</v>
      </c>
      <c r="T5" s="9" t="s">
        <v>114</v>
      </c>
    </row>
    <row r="6" spans="1:20" x14ac:dyDescent="0.25">
      <c r="A6" s="11">
        <v>2</v>
      </c>
      <c r="B6" s="9" t="s">
        <v>2</v>
      </c>
      <c r="C6" s="9" t="s">
        <v>41</v>
      </c>
      <c r="D6" s="9" t="s">
        <v>36</v>
      </c>
      <c r="E6" s="10">
        <v>1710.055053710938</v>
      </c>
      <c r="F6" s="17">
        <v>1.023692503152265</v>
      </c>
      <c r="G6" s="20">
        <v>-0.5400051267382519</v>
      </c>
      <c r="H6" s="20">
        <v>2.058960582022369</v>
      </c>
      <c r="I6" s="20">
        <v>4.097268549112698</v>
      </c>
      <c r="J6" s="20">
        <v>1.854256470224931</v>
      </c>
      <c r="K6" s="20">
        <v>0.0792978836476507</v>
      </c>
      <c r="L6" s="20">
        <v>-3.018570158890117</v>
      </c>
      <c r="M6" s="20">
        <v>-0.03681999551861631</v>
      </c>
      <c r="N6" s="20">
        <v>24.095963</v>
      </c>
      <c r="O6" s="20">
        <v>16.833475</v>
      </c>
      <c r="P6" s="12">
        <v>0.9164</v>
      </c>
      <c r="Q6" s="12">
        <v>3.716</v>
      </c>
      <c r="R6" s="12">
        <v>1.776829654702357</v>
      </c>
      <c r="S6" s="11">
        <v>53.16332750710579</v>
      </c>
      <c r="T6" s="9" t="s">
        <v>114</v>
      </c>
    </row>
    <row r="7" spans="1:20" x14ac:dyDescent="0.25">
      <c r="A7" s="11">
        <v>3</v>
      </c>
      <c r="B7" s="9" t="s">
        <v>115</v>
      </c>
      <c r="C7" s="9" t="s">
        <v>116</v>
      </c>
      <c r="D7" s="9" t="s">
        <v>36</v>
      </c>
      <c r="E7" s="10">
        <v>62.58499908447266</v>
      </c>
      <c r="F7" s="17">
        <v>0.9692298432562777</v>
      </c>
      <c r="G7" s="20">
        <v>0.3308679966228206</v>
      </c>
      <c r="H7" s="20">
        <v>-0.53656326465671</v>
      </c>
      <c r="I7" s="20">
        <v>2.202669227673142</v>
      </c>
      <c r="J7" s="20">
        <v>2.652702237145258</v>
      </c>
      <c r="K7" s="20">
        <v>0</v>
      </c>
      <c r="L7" s="20">
        <v>-2.076387297304771</v>
      </c>
      <c r="M7" s="20">
        <v>-0.1534776381764376</v>
      </c>
      <c r="N7" s="20">
        <v>32.4433</v>
      </c>
      <c r="O7" s="20">
        <v>3.1526747</v>
      </c>
      <c r="P7" s="12">
        <v>0.10936</v>
      </c>
      <c r="Q7" s="12">
        <v>0.337</v>
      </c>
      <c r="R7" s="12">
        <v>1.628523977619318</v>
      </c>
      <c r="S7" s="11">
        <v>60.56702562656024</v>
      </c>
      <c r="T7" s="9" t="s">
        <v>114</v>
      </c>
    </row>
    <row r="8" spans="1:20" x14ac:dyDescent="0.25">
      <c r="A8" s="11">
        <v>4</v>
      </c>
      <c r="B8" s="9" t="s">
        <v>4</v>
      </c>
      <c r="C8" s="9" t="s">
        <v>45</v>
      </c>
      <c r="D8" s="9" t="s">
        <v>46</v>
      </c>
      <c r="E8" s="10">
        <v>389.6199951171875</v>
      </c>
      <c r="F8" s="17">
        <v>0.8473924255078459</v>
      </c>
      <c r="G8" s="20">
        <v>0.6066625783285674</v>
      </c>
      <c r="H8" s="20">
        <v>-0.6826845382770022</v>
      </c>
      <c r="I8" s="20">
        <v>2.855442298450458</v>
      </c>
      <c r="J8" s="20">
        <v>1.931534137371231</v>
      </c>
      <c r="K8" s="20">
        <v>0.5895385746597579</v>
      </c>
      <c r="L8" s="20">
        <v>0.05632757860932074</v>
      </c>
      <c r="M8" s="20">
        <v>-1.146325839989015</v>
      </c>
      <c r="N8" s="20">
        <v>16.15269</v>
      </c>
      <c r="O8" s="20">
        <v>4.459058</v>
      </c>
      <c r="P8" s="12">
        <v>0.27637</v>
      </c>
      <c r="Q8" s="12">
        <v>0.517</v>
      </c>
      <c r="R8" s="12">
        <v>0.5452343867345113</v>
      </c>
      <c r="S8" s="11">
        <v>59.40230115457515</v>
      </c>
      <c r="T8" s="9" t="s">
        <v>114</v>
      </c>
    </row>
    <row r="9" spans="1:20" x14ac:dyDescent="0.25">
      <c r="A9" s="11">
        <v>5</v>
      </c>
      <c r="B9" s="9" t="s">
        <v>13</v>
      </c>
      <c r="C9" s="9" t="s">
        <v>62</v>
      </c>
      <c r="D9" s="9" t="s">
        <v>59</v>
      </c>
      <c r="E9" s="10">
        <v>341.5299987792969</v>
      </c>
      <c r="F9" s="17">
        <v>0.8432562304072858</v>
      </c>
      <c r="G9" s="20">
        <v>-0.3286805258697003</v>
      </c>
      <c r="H9" s="20">
        <v>1.46049714331344</v>
      </c>
      <c r="I9" s="20">
        <v>1.392272810408264</v>
      </c>
      <c r="J9" s="20">
        <v>0.1055076982311214</v>
      </c>
      <c r="K9" s="20">
        <v>4.134420649754185</v>
      </c>
      <c r="L9" s="20">
        <v>0.05365073605851149</v>
      </c>
      <c r="M9" s="20">
        <v>-0.01862413138117866</v>
      </c>
      <c r="N9" s="20">
        <v>17.273733</v>
      </c>
      <c r="O9" s="20">
        <v>6.7573094</v>
      </c>
      <c r="P9" s="12">
        <v>0.48676</v>
      </c>
      <c r="Q9" s="12">
        <v>0.242</v>
      </c>
      <c r="R9" s="12">
        <v>0.2464592942467931</v>
      </c>
      <c r="S9" s="11">
        <v>47.9569164197051</v>
      </c>
      <c r="T9" s="9" t="s">
        <v>114</v>
      </c>
    </row>
    <row r="10" spans="1:20" x14ac:dyDescent="0.25">
      <c r="A10" s="11">
        <v>6</v>
      </c>
      <c r="B10" s="9" t="s">
        <v>11</v>
      </c>
      <c r="C10" s="9" t="s">
        <v>58</v>
      </c>
      <c r="D10" s="9" t="s">
        <v>59</v>
      </c>
      <c r="E10" s="10">
        <v>338.3099975585938</v>
      </c>
      <c r="F10" s="17">
        <v>0.8427958803639006</v>
      </c>
      <c r="G10" s="20">
        <v>-0.3209980775361091</v>
      </c>
      <c r="H10" s="20">
        <v>1.46049714331344</v>
      </c>
      <c r="I10" s="20">
        <v>1.392272810408264</v>
      </c>
      <c r="J10" s="20">
        <v>0.08060065993716282</v>
      </c>
      <c r="K10" s="20">
        <v>4.134420649754185</v>
      </c>
      <c r="L10" s="20">
        <v>0.1059438109029909</v>
      </c>
      <c r="M10" s="20">
        <v>0.01251757179491039</v>
      </c>
      <c r="N10" s="20">
        <v>17.12249</v>
      </c>
      <c r="O10" s="20">
        <v>6.7015085</v>
      </c>
      <c r="P10" s="12">
        <v>0.48676</v>
      </c>
      <c r="Q10" s="12">
        <v>0.242</v>
      </c>
      <c r="R10" s="12">
        <v>0.2373369246628887</v>
      </c>
      <c r="S10" s="11">
        <v>47.77180017862309</v>
      </c>
      <c r="T10" s="9" t="s">
        <v>114</v>
      </c>
    </row>
    <row r="11" spans="1:20" x14ac:dyDescent="0.25">
      <c r="A11" s="11">
        <v>7</v>
      </c>
      <c r="B11" s="9" t="s">
        <v>117</v>
      </c>
      <c r="C11" s="9" t="s">
        <v>118</v>
      </c>
      <c r="D11" s="9" t="s">
        <v>36</v>
      </c>
      <c r="E11" s="10">
        <v>42.09500122070312</v>
      </c>
      <c r="F11" s="17">
        <v>0.8381799897169411</v>
      </c>
      <c r="G11" s="20">
        <v>-0.01962276509782637</v>
      </c>
      <c r="H11" s="20">
        <v>-0.81458274663997</v>
      </c>
      <c r="I11" s="20">
        <v>3.890766583974275</v>
      </c>
      <c r="J11" s="20">
        <v>1.287445353787207</v>
      </c>
      <c r="K11" s="20">
        <v>3.297545246029351</v>
      </c>
      <c r="L11" s="20">
        <v>-3.018570158890117</v>
      </c>
      <c r="M11" s="20">
        <v>-0.2232019703344966</v>
      </c>
      <c r="N11" s="20">
        <v>13.269938</v>
      </c>
      <c r="O11" s="20">
        <v>2.771478</v>
      </c>
      <c r="P11" s="12">
        <v>0.21465999</v>
      </c>
      <c r="Q11" s="12">
        <v>0.9320000000000001</v>
      </c>
      <c r="R11" s="12">
        <v>0.9160219634197087</v>
      </c>
      <c r="S11" s="11">
        <v>59.83336816338346</v>
      </c>
      <c r="T11" s="9" t="s">
        <v>114</v>
      </c>
    </row>
    <row r="12" spans="1:20" x14ac:dyDescent="0.25">
      <c r="A12" s="11">
        <v>8</v>
      </c>
      <c r="B12" s="9" t="s">
        <v>0</v>
      </c>
      <c r="C12" s="9" t="s">
        <v>35</v>
      </c>
      <c r="D12" s="9" t="s">
        <v>36</v>
      </c>
      <c r="E12" s="10">
        <v>543.5250244140625</v>
      </c>
      <c r="F12" s="17">
        <v>0.8127835703591179</v>
      </c>
      <c r="G12" s="20">
        <v>-0.1018209436010066</v>
      </c>
      <c r="H12" s="20">
        <v>-0.8490887888117886</v>
      </c>
      <c r="I12" s="20">
        <v>2.17697052724581</v>
      </c>
      <c r="J12" s="20">
        <v>2.671855168661722</v>
      </c>
      <c r="K12" s="20">
        <v>1.562626058506958</v>
      </c>
      <c r="L12" s="20">
        <v>-3.018570158890117</v>
      </c>
      <c r="M12" s="20">
        <v>-0.7336121799167548</v>
      </c>
      <c r="N12" s="20">
        <v>32.783344</v>
      </c>
      <c r="O12" s="20">
        <v>-252.41704</v>
      </c>
      <c r="P12" s="12">
        <v>0</v>
      </c>
      <c r="Q12" s="12">
        <v>0.577</v>
      </c>
      <c r="R12" s="12">
        <v>2.178555997462185</v>
      </c>
      <c r="S12" s="11">
        <v>54.46231358966153</v>
      </c>
      <c r="T12" s="9" t="s">
        <v>114</v>
      </c>
    </row>
    <row r="13" spans="1:20" x14ac:dyDescent="0.25">
      <c r="A13" s="11">
        <v>9</v>
      </c>
      <c r="B13" s="9" t="s">
        <v>5</v>
      </c>
      <c r="C13" s="9" t="s">
        <v>48</v>
      </c>
      <c r="D13" s="9" t="s">
        <v>46</v>
      </c>
      <c r="E13" s="10">
        <v>389.5150146484375</v>
      </c>
      <c r="F13" s="17">
        <v>0.799021038858548</v>
      </c>
      <c r="G13" s="20">
        <v>0.63544661477666</v>
      </c>
      <c r="H13" s="20">
        <v>-0.5748310520290635</v>
      </c>
      <c r="I13" s="20">
        <v>2.432487252480616</v>
      </c>
      <c r="J13" s="20">
        <v>1.769862998539484</v>
      </c>
      <c r="K13" s="20">
        <v>0.7528962662486143</v>
      </c>
      <c r="L13" s="20">
        <v>0.03041539186557292</v>
      </c>
      <c r="M13" s="20">
        <v>-1.122081046853446</v>
      </c>
      <c r="N13" s="20">
        <v>13.640207</v>
      </c>
      <c r="O13" s="20">
        <v>5.837709</v>
      </c>
      <c r="P13" s="12">
        <v>0.42099</v>
      </c>
      <c r="Q13" s="12">
        <v>0.537</v>
      </c>
      <c r="R13" s="12">
        <v>0.5563980261312749</v>
      </c>
      <c r="S13" s="11">
        <v>53.70004445072473</v>
      </c>
      <c r="T13" s="9" t="s">
        <v>114</v>
      </c>
    </row>
    <row r="14" spans="1:20" x14ac:dyDescent="0.25">
      <c r="A14" s="11">
        <v>10</v>
      </c>
      <c r="B14" s="9" t="s">
        <v>10</v>
      </c>
      <c r="C14" s="9" t="s">
        <v>56</v>
      </c>
      <c r="D14" s="9" t="s">
        <v>57</v>
      </c>
      <c r="E14" s="10">
        <v>363.1650085449219</v>
      </c>
      <c r="F14" s="17">
        <v>0.7481439709710545</v>
      </c>
      <c r="G14" s="20">
        <v>1.160842542624806</v>
      </c>
      <c r="H14" s="20">
        <v>-0.1221460134271735</v>
      </c>
      <c r="I14" s="20">
        <v>-0.379797036716154</v>
      </c>
      <c r="J14" s="20">
        <v>0.4367321725784516</v>
      </c>
      <c r="K14" s="20">
        <v>3.729636424089999</v>
      </c>
      <c r="L14" s="20">
        <v>0.5375686012483512</v>
      </c>
      <c r="M14" s="20">
        <v>-0.1764344952585491</v>
      </c>
      <c r="N14" s="20">
        <v>9.756517000000001</v>
      </c>
      <c r="O14" s="20">
        <v>2.286463</v>
      </c>
      <c r="P14" s="12">
        <v>0.26511</v>
      </c>
      <c r="Q14" s="12">
        <v>0.003</v>
      </c>
      <c r="R14" s="12">
        <v>0.2827501333391973</v>
      </c>
      <c r="S14" s="11">
        <v>44.00694811967168</v>
      </c>
      <c r="T14" s="9" t="s">
        <v>114</v>
      </c>
    </row>
    <row r="15" spans="1:20" x14ac:dyDescent="0.25">
      <c r="A15" s="11">
        <v>11</v>
      </c>
      <c r="B15" s="9" t="s">
        <v>119</v>
      </c>
      <c r="C15" s="9" t="s">
        <v>120</v>
      </c>
      <c r="D15" s="9" t="s">
        <v>36</v>
      </c>
      <c r="E15" s="10">
        <v>204.2230072021484</v>
      </c>
      <c r="F15" s="17">
        <v>0.7430037693944536</v>
      </c>
      <c r="G15" s="20">
        <v>-0.4407742654660424</v>
      </c>
      <c r="H15" s="20">
        <v>1.36710860701193</v>
      </c>
      <c r="I15" s="20">
        <v>0.4340417055879129</v>
      </c>
      <c r="J15" s="20">
        <v>1.784211496253286</v>
      </c>
      <c r="K15" s="20">
        <v>0</v>
      </c>
      <c r="L15" s="20">
        <v>-0.569616032410216</v>
      </c>
      <c r="M15" s="20">
        <v>-0.3755668720133269</v>
      </c>
      <c r="N15" s="20">
        <v>28.41031</v>
      </c>
      <c r="O15" s="20">
        <v>26.369299</v>
      </c>
      <c r="P15" s="12">
        <v>1.14818</v>
      </c>
      <c r="Q15" s="12">
        <v>0.299</v>
      </c>
      <c r="R15" s="12">
        <v>1.011848053597937</v>
      </c>
      <c r="S15" s="11">
        <v>62.618506073638</v>
      </c>
      <c r="T15" s="9" t="s">
        <v>114</v>
      </c>
    </row>
    <row r="16" spans="1:20" x14ac:dyDescent="0.25">
      <c r="A16" s="11">
        <v>12</v>
      </c>
      <c r="B16" s="9" t="s">
        <v>121</v>
      </c>
      <c r="C16" s="9" t="s">
        <v>122</v>
      </c>
      <c r="D16" s="9" t="s">
        <v>36</v>
      </c>
      <c r="E16" s="10">
        <v>116.2149963378906</v>
      </c>
      <c r="F16" s="17">
        <v>0.6890007619364713</v>
      </c>
      <c r="G16" s="20">
        <v>-0.8300215284456212</v>
      </c>
      <c r="H16" s="20">
        <v>-1.15511857368005</v>
      </c>
      <c r="I16" s="20">
        <v>0.5176902230779757</v>
      </c>
      <c r="J16" s="20">
        <v>1.978381271612087</v>
      </c>
      <c r="K16" s="20">
        <v>4.134420649754185</v>
      </c>
      <c r="L16" s="20">
        <v>-2.656795674589432</v>
      </c>
      <c r="M16" s="20">
        <v>0.5152183444866391</v>
      </c>
      <c r="N16" s="20">
        <v>59.648514</v>
      </c>
      <c r="O16" s="20">
        <v>7.085662</v>
      </c>
      <c r="P16" s="12">
        <v>-0.10715</v>
      </c>
      <c r="Q16" s="12">
        <v>0.254</v>
      </c>
      <c r="R16" s="12">
        <v>1.694528019008212</v>
      </c>
      <c r="S16" s="11">
        <v>58.71757733484527</v>
      </c>
      <c r="T16" s="9" t="s">
        <v>114</v>
      </c>
    </row>
    <row r="17" spans="1:20" x14ac:dyDescent="0.25">
      <c r="A17" s="11">
        <v>13</v>
      </c>
      <c r="B17" s="9" t="s">
        <v>15</v>
      </c>
      <c r="C17" s="9" t="s">
        <v>65</v>
      </c>
      <c r="D17" s="9" t="s">
        <v>66</v>
      </c>
      <c r="E17" s="10">
        <v>158.4299926757812</v>
      </c>
      <c r="F17" s="17">
        <v>0.6708305741248314</v>
      </c>
      <c r="G17" s="20">
        <v>0.4643687022637146</v>
      </c>
      <c r="H17" s="20">
        <v>-0.5602647059158709</v>
      </c>
      <c r="I17" s="20">
        <v>-0.03871237626800461</v>
      </c>
      <c r="J17" s="20">
        <v>1.041375861417352</v>
      </c>
      <c r="K17" s="20">
        <v>3.210824496173538</v>
      </c>
      <c r="L17" s="20">
        <v>0.4238391406000225</v>
      </c>
      <c r="M17" s="20">
        <v>-0.5298031013916128</v>
      </c>
      <c r="N17" s="20">
        <v>16.332987</v>
      </c>
      <c r="O17" s="20">
        <v>4.008707</v>
      </c>
      <c r="P17" s="12">
        <v>0.26408002</v>
      </c>
      <c r="Q17" s="12">
        <v>0.053</v>
      </c>
      <c r="R17" s="12">
        <v>0.3447460983994171</v>
      </c>
      <c r="S17" s="11">
        <v>52.51861058331142</v>
      </c>
      <c r="T17" s="9" t="s">
        <v>114</v>
      </c>
    </row>
    <row r="18" spans="1:20" x14ac:dyDescent="0.25">
      <c r="A18" s="11">
        <v>14</v>
      </c>
      <c r="B18" s="9" t="s">
        <v>7</v>
      </c>
      <c r="C18" s="9" t="s">
        <v>52</v>
      </c>
      <c r="D18" s="9" t="s">
        <v>46</v>
      </c>
      <c r="E18" s="10">
        <v>253.2799987792969</v>
      </c>
      <c r="F18" s="17">
        <v>0.6586665806459518</v>
      </c>
      <c r="G18" s="20">
        <v>0.4452704814464517</v>
      </c>
      <c r="H18" s="20">
        <v>-0.7901437171956464</v>
      </c>
      <c r="I18" s="20">
        <v>2.40169945735154</v>
      </c>
      <c r="J18" s="20">
        <v>1.486961817360241</v>
      </c>
      <c r="K18" s="20">
        <v>0.6707132300480476</v>
      </c>
      <c r="L18" s="20">
        <v>0.303592191751834</v>
      </c>
      <c r="M18" s="20">
        <v>-1.000234016465102</v>
      </c>
      <c r="N18" s="20">
        <v>14.597602</v>
      </c>
      <c r="O18" s="20">
        <v>3.2390637</v>
      </c>
      <c r="P18" s="12">
        <v>0.23452999</v>
      </c>
      <c r="Q18" s="12">
        <v>0.531</v>
      </c>
      <c r="R18" s="12">
        <v>0.3621886526501239</v>
      </c>
      <c r="S18" s="11">
        <v>52.18044228058604</v>
      </c>
      <c r="T18" s="9" t="s">
        <v>114</v>
      </c>
    </row>
    <row r="19" spans="1:20" x14ac:dyDescent="0.25">
      <c r="A19" s="11">
        <v>15</v>
      </c>
      <c r="B19" s="9" t="s">
        <v>12</v>
      </c>
      <c r="C19" s="9" t="s">
        <v>60</v>
      </c>
      <c r="D19" s="9" t="s">
        <v>61</v>
      </c>
      <c r="E19" s="10">
        <v>62.27830123901367</v>
      </c>
      <c r="F19" s="17">
        <v>0.6438252134936931</v>
      </c>
      <c r="G19" s="20">
        <v>1.236177102540873</v>
      </c>
      <c r="H19" s="20">
        <v>-1.371750894206162</v>
      </c>
      <c r="I19" s="20">
        <v>-0.5828068382546813</v>
      </c>
      <c r="J19" s="20">
        <v>0.7765090107657754</v>
      </c>
      <c r="K19" s="20">
        <v>4.134420649754185</v>
      </c>
      <c r="L19" s="20">
        <v>0.001827206151417</v>
      </c>
      <c r="M19" s="20">
        <v>-0.3764831454316215</v>
      </c>
      <c r="N19" s="20">
        <v>11.559979</v>
      </c>
      <c r="O19" s="20">
        <v>1.3535349</v>
      </c>
      <c r="P19" s="12">
        <v>-0.20358999</v>
      </c>
      <c r="Q19" s="12">
        <v>0.046</v>
      </c>
      <c r="R19" s="12">
        <v>0.9461969137191772</v>
      </c>
      <c r="S19" s="11">
        <v>41.34623597454802</v>
      </c>
      <c r="T19" s="9" t="s">
        <v>114</v>
      </c>
    </row>
    <row r="20" spans="1:20" x14ac:dyDescent="0.25">
      <c r="A20" s="11">
        <v>16</v>
      </c>
      <c r="B20" s="9" t="s">
        <v>123</v>
      </c>
      <c r="C20" s="9" t="s">
        <v>124</v>
      </c>
      <c r="D20" s="9" t="s">
        <v>36</v>
      </c>
      <c r="E20" s="10">
        <v>228.0800018310547</v>
      </c>
      <c r="F20" s="17">
        <v>0.638561523280782</v>
      </c>
      <c r="G20" s="20">
        <v>0.4118301704600924</v>
      </c>
      <c r="H20" s="20">
        <v>0.5370840996929799</v>
      </c>
      <c r="I20" s="20">
        <v>0.1953152078062003</v>
      </c>
      <c r="J20" s="20">
        <v>0.8024628040201901</v>
      </c>
      <c r="K20" s="20">
        <v>3.439222750154254</v>
      </c>
      <c r="L20" s="20">
        <v>-1.801014910229202</v>
      </c>
      <c r="M20" s="20">
        <v>-1.080219509304337</v>
      </c>
      <c r="N20" s="20">
        <v>21.410795</v>
      </c>
      <c r="O20" s="20">
        <v>5.018442</v>
      </c>
      <c r="P20" s="12">
        <v>0.19381</v>
      </c>
      <c r="Q20" s="12">
        <v>0.108</v>
      </c>
      <c r="R20" s="12">
        <v>0.2807087065515095</v>
      </c>
      <c r="S20" s="11">
        <v>46.00833582155431</v>
      </c>
      <c r="T20" s="9" t="s">
        <v>114</v>
      </c>
    </row>
    <row r="21" spans="1:20" x14ac:dyDescent="0.25">
      <c r="A21" s="11">
        <v>17</v>
      </c>
      <c r="B21" s="9" t="s">
        <v>125</v>
      </c>
      <c r="C21" s="9" t="s">
        <v>126</v>
      </c>
      <c r="D21" s="9" t="s">
        <v>127</v>
      </c>
      <c r="E21" s="10">
        <v>246.0249938964844</v>
      </c>
      <c r="F21" s="17">
        <v>0.6121263867209685</v>
      </c>
      <c r="G21" s="20">
        <v>-0.01172638762890057</v>
      </c>
      <c r="H21" s="20">
        <v>0.1587373163946222</v>
      </c>
      <c r="I21" s="20">
        <v>1.021835496573962</v>
      </c>
      <c r="J21" s="20">
        <v>0.0378713451723798</v>
      </c>
      <c r="K21" s="20">
        <v>4.134420649754185</v>
      </c>
      <c r="L21" s="20">
        <v>-0.4431233183336993</v>
      </c>
      <c r="M21" s="20">
        <v>0.07188917239300779</v>
      </c>
      <c r="N21" s="20">
        <v>20.08608</v>
      </c>
      <c r="O21" s="20">
        <v>4.8805614</v>
      </c>
      <c r="P21" s="12">
        <v>0.30558002</v>
      </c>
      <c r="Q21" s="12">
        <v>0.196</v>
      </c>
      <c r="R21" s="12">
        <v>0.2341978449696593</v>
      </c>
      <c r="S21" s="11">
        <v>41.13582944932801</v>
      </c>
      <c r="T21" s="9" t="s">
        <v>114</v>
      </c>
    </row>
    <row r="22" spans="1:20" x14ac:dyDescent="0.25">
      <c r="A22" s="11">
        <v>18</v>
      </c>
      <c r="B22" s="9" t="s">
        <v>128</v>
      </c>
      <c r="C22" s="9" t="s">
        <v>129</v>
      </c>
      <c r="D22" s="9" t="s">
        <v>61</v>
      </c>
      <c r="E22" s="10">
        <v>270.4400024414062</v>
      </c>
      <c r="F22" s="17">
        <v>0.6077138057281105</v>
      </c>
      <c r="G22" s="20">
        <v>-0.7382512714864492</v>
      </c>
      <c r="H22" s="20">
        <v>0.4427349355287207</v>
      </c>
      <c r="I22" s="20">
        <v>-0.4590192885594346</v>
      </c>
      <c r="J22" s="20">
        <v>2.671659013794631</v>
      </c>
      <c r="K22" s="20">
        <v>-0.268593496587877</v>
      </c>
      <c r="L22" s="20">
        <v>-0.8100559480268301</v>
      </c>
      <c r="M22" s="20">
        <v>-0.062496923740188</v>
      </c>
      <c r="N22" s="20">
        <v>50.27933</v>
      </c>
      <c r="O22" s="20">
        <v>14.365522</v>
      </c>
      <c r="P22" s="12">
        <v>0.32339</v>
      </c>
      <c r="Q22" s="12">
        <v>0.094</v>
      </c>
      <c r="R22" s="12">
        <v>1.298291889604014</v>
      </c>
      <c r="S22" s="11">
        <v>73.83091183080094</v>
      </c>
      <c r="T22" s="9" t="s">
        <v>114</v>
      </c>
    </row>
    <row r="23" spans="1:20" x14ac:dyDescent="0.25">
      <c r="A23" s="11">
        <v>19</v>
      </c>
      <c r="B23" s="9" t="s">
        <v>16</v>
      </c>
      <c r="C23" s="9" t="s">
        <v>67</v>
      </c>
      <c r="D23" s="9" t="s">
        <v>61</v>
      </c>
      <c r="E23" s="10">
        <v>125.9800033569336</v>
      </c>
      <c r="F23" s="17">
        <v>0.5986779441629044</v>
      </c>
      <c r="G23" s="20">
        <v>0.3123085537627329</v>
      </c>
      <c r="H23" s="20">
        <v>0.5059193760536828</v>
      </c>
      <c r="I23" s="20">
        <v>0.5162516055283453</v>
      </c>
      <c r="J23" s="20">
        <v>0.7715216541627893</v>
      </c>
      <c r="K23" s="20">
        <v>1.603465481404173</v>
      </c>
      <c r="L23" s="20">
        <v>0.2875881870937351</v>
      </c>
      <c r="M23" s="20">
        <v>-0.3904687684846619</v>
      </c>
      <c r="N23" s="20">
        <v>15.782166</v>
      </c>
      <c r="O23" s="20">
        <v>3.9245436</v>
      </c>
      <c r="P23" s="12">
        <v>0.30667</v>
      </c>
      <c r="Q23" s="12">
        <v>0.377</v>
      </c>
      <c r="R23" s="12">
        <v>0.3951273432928331</v>
      </c>
      <c r="S23" s="11">
        <v>53.53564251197643</v>
      </c>
      <c r="T23" s="9" t="s">
        <v>114</v>
      </c>
    </row>
    <row r="24" spans="1:20" x14ac:dyDescent="0.25">
      <c r="A24" s="11">
        <v>20</v>
      </c>
      <c r="B24" s="9" t="s">
        <v>6</v>
      </c>
      <c r="C24" s="9" t="s">
        <v>50</v>
      </c>
      <c r="D24" s="9" t="s">
        <v>46</v>
      </c>
      <c r="E24" s="10">
        <v>56.16500091552734</v>
      </c>
      <c r="F24" s="17">
        <v>0.5902033476669435</v>
      </c>
      <c r="G24" s="20">
        <v>0.5909946933403921</v>
      </c>
      <c r="H24" s="20">
        <v>0.6147531683208749</v>
      </c>
      <c r="I24" s="20">
        <v>2.900414534129918</v>
      </c>
      <c r="J24" s="20">
        <v>0.06267905441964601</v>
      </c>
      <c r="K24" s="20">
        <v>0.8900360567182717</v>
      </c>
      <c r="L24" s="20">
        <v>0.05360632121206992</v>
      </c>
      <c r="M24" s="20">
        <v>-0.4175259985433694</v>
      </c>
      <c r="N24" s="20">
        <v>16.772861</v>
      </c>
      <c r="O24" s="20">
        <v>1.6988854</v>
      </c>
      <c r="P24" s="12">
        <v>0.10629</v>
      </c>
      <c r="Q24" s="12">
        <v>0.534</v>
      </c>
      <c r="R24" s="12">
        <v>-0.1322208066358832</v>
      </c>
      <c r="S24" s="11">
        <v>39.71509370215241</v>
      </c>
      <c r="T24" s="9" t="s">
        <v>114</v>
      </c>
    </row>
    <row r="25" spans="1:20" x14ac:dyDescent="0.25">
      <c r="A25" s="11">
        <v>21</v>
      </c>
      <c r="B25" s="9" t="s">
        <v>9</v>
      </c>
      <c r="C25" s="9" t="s">
        <v>54</v>
      </c>
      <c r="D25" s="9" t="s">
        <v>36</v>
      </c>
      <c r="E25" s="10">
        <v>229.6450042724609</v>
      </c>
      <c r="F25" s="17">
        <v>0.5856027054764036</v>
      </c>
      <c r="G25" s="20">
        <v>-1.098910330048646</v>
      </c>
      <c r="H25" s="20">
        <v>2.371667806806906</v>
      </c>
      <c r="I25" s="20">
        <v>2.414157689348599</v>
      </c>
      <c r="J25" s="20">
        <v>0.8153146239200062</v>
      </c>
      <c r="K25" s="20">
        <v>-0.3018700633930144</v>
      </c>
      <c r="L25" s="20">
        <v>-0.2574216305985803</v>
      </c>
      <c r="M25" s="20">
        <v>-0.3800091858966296</v>
      </c>
      <c r="N25" s="20">
        <v>28.489874</v>
      </c>
      <c r="O25" s="20">
        <v>23.73405</v>
      </c>
      <c r="P25" s="12">
        <v>1.17211</v>
      </c>
      <c r="Q25" s="12">
        <v>1.059</v>
      </c>
      <c r="R25" s="12">
        <v>0.3739847700558896</v>
      </c>
      <c r="S25" s="11">
        <v>59.42871845799364</v>
      </c>
      <c r="T25" s="9" t="s">
        <v>114</v>
      </c>
    </row>
    <row r="26" spans="1:20" x14ac:dyDescent="0.25">
      <c r="A26" s="11">
        <v>22</v>
      </c>
      <c r="B26" s="9" t="s">
        <v>130</v>
      </c>
      <c r="C26" s="9" t="s">
        <v>131</v>
      </c>
      <c r="D26" s="9" t="s">
        <v>61</v>
      </c>
      <c r="E26" s="10">
        <v>229.3300018310547</v>
      </c>
      <c r="F26" s="17">
        <v>0.5548323425472482</v>
      </c>
      <c r="G26" s="20">
        <v>0.1826167294586985</v>
      </c>
      <c r="H26" s="20">
        <v>0.02741872860098578</v>
      </c>
      <c r="I26" s="20">
        <v>-0.8979974000351455</v>
      </c>
      <c r="J26" s="20">
        <v>0.8502106931837119</v>
      </c>
      <c r="K26" s="20">
        <v>3.288974009124997</v>
      </c>
      <c r="L26" s="20">
        <v>-0.03921277930864753</v>
      </c>
      <c r="M26" s="20">
        <v>-0.5001655952444399</v>
      </c>
      <c r="N26" s="20">
        <v>40.498222</v>
      </c>
      <c r="O26" s="20">
        <v>1.7835593</v>
      </c>
      <c r="P26" s="12">
        <v>0.04575</v>
      </c>
      <c r="Q26" s="12">
        <v>0.034</v>
      </c>
      <c r="R26" s="12">
        <v>0.2474434638779868</v>
      </c>
      <c r="S26" s="11">
        <v>64.47776791287792</v>
      </c>
      <c r="T26" s="9" t="s">
        <v>114</v>
      </c>
    </row>
    <row r="27" spans="1:20" x14ac:dyDescent="0.25">
      <c r="A27" s="11">
        <v>23</v>
      </c>
      <c r="B27" s="9" t="s">
        <v>132</v>
      </c>
      <c r="C27" s="9" t="s">
        <v>133</v>
      </c>
      <c r="D27" s="9" t="s">
        <v>36</v>
      </c>
      <c r="E27" s="10">
        <v>371.9500122070312</v>
      </c>
      <c r="F27" s="17">
        <v>0.5509353815118355</v>
      </c>
      <c r="G27" s="20">
        <v>0.08345580963657841</v>
      </c>
      <c r="H27" s="20">
        <v>-0.2400131984019881</v>
      </c>
      <c r="I27" s="20">
        <v>0.4617856253832925</v>
      </c>
      <c r="J27" s="20">
        <v>1.582924338066536</v>
      </c>
      <c r="K27" s="20">
        <v>1.661447378110094</v>
      </c>
      <c r="L27" s="20">
        <v>-1.826749066100682</v>
      </c>
      <c r="M27" s="20">
        <v>-0.4563644730486376</v>
      </c>
      <c r="N27" s="20">
        <v>33.886448</v>
      </c>
      <c r="O27" s="20">
        <v>5.1050563</v>
      </c>
      <c r="P27" s="12">
        <v>0.15286</v>
      </c>
      <c r="Q27" s="12">
        <v>0.204</v>
      </c>
      <c r="R27" s="12">
        <v>0.8355211869687351</v>
      </c>
      <c r="S27" s="11">
        <v>62.77985356632021</v>
      </c>
      <c r="T27" s="9" t="s">
        <v>114</v>
      </c>
    </row>
    <row r="28" spans="1:20" x14ac:dyDescent="0.25">
      <c r="A28" s="11">
        <v>24</v>
      </c>
      <c r="B28" s="9" t="s">
        <v>134</v>
      </c>
      <c r="C28" s="9" t="s">
        <v>135</v>
      </c>
      <c r="D28" s="9" t="s">
        <v>66</v>
      </c>
      <c r="E28" s="10">
        <v>116.1050033569336</v>
      </c>
      <c r="F28" s="17">
        <v>0.547516923596962</v>
      </c>
      <c r="G28" s="20">
        <v>0.4073104247281907</v>
      </c>
      <c r="H28" s="20">
        <v>-0.1242500444886299</v>
      </c>
      <c r="I28" s="20">
        <v>0.4715191624753287</v>
      </c>
      <c r="J28" s="20">
        <v>-0.2099706958499017</v>
      </c>
      <c r="K28" s="20">
        <v>4.134420649754185</v>
      </c>
      <c r="L28" s="20">
        <v>0.1214883981928092</v>
      </c>
      <c r="M28" s="20">
        <v>0.08125706136794154</v>
      </c>
      <c r="N28" s="20">
        <v>13.979167</v>
      </c>
      <c r="O28" s="20">
        <v>6.2500687</v>
      </c>
      <c r="P28" s="12">
        <v>0.46032003</v>
      </c>
      <c r="Q28" s="12">
        <v>0.07000000000000001</v>
      </c>
      <c r="R28" s="12">
        <v>0.08509348931713645</v>
      </c>
      <c r="S28" s="11">
        <v>42.96845385096077</v>
      </c>
      <c r="T28" s="9" t="s">
        <v>114</v>
      </c>
    </row>
    <row r="29" spans="1:20" x14ac:dyDescent="0.25">
      <c r="A29" s="11">
        <v>25</v>
      </c>
      <c r="B29" s="9" t="s">
        <v>136</v>
      </c>
      <c r="C29" s="9" t="s">
        <v>137</v>
      </c>
      <c r="D29" s="9" t="s">
        <v>36</v>
      </c>
      <c r="E29" s="10">
        <v>176.8558959960938</v>
      </c>
      <c r="F29" s="17">
        <v>0.5136304991156163</v>
      </c>
      <c r="G29" s="20">
        <v>-1.991192966399809</v>
      </c>
      <c r="H29" s="20">
        <v>1.771970471950948</v>
      </c>
      <c r="I29" s="20">
        <v>0.2259855872354321</v>
      </c>
      <c r="J29" s="20">
        <v>1.925527408829443</v>
      </c>
      <c r="K29" s="20">
        <v>0.4226515502279323</v>
      </c>
      <c r="L29" s="20">
        <v>-0.7150775070228708</v>
      </c>
      <c r="M29" s="20">
        <v>-0.2442544927865698</v>
      </c>
      <c r="N29" s="20">
        <v>61.29329</v>
      </c>
      <c r="O29" s="20">
        <v>82.05298000000001</v>
      </c>
      <c r="P29" s="12">
        <v>1.17442</v>
      </c>
      <c r="Q29" s="12">
        <v>0.256</v>
      </c>
      <c r="R29" s="12">
        <v>1.261584436034549</v>
      </c>
      <c r="S29" s="11">
        <v>60.54838492027917</v>
      </c>
      <c r="T29" s="9" t="s">
        <v>114</v>
      </c>
    </row>
    <row r="30" spans="1:20" x14ac:dyDescent="0.25">
      <c r="A30" s="11">
        <v>26</v>
      </c>
      <c r="B30" s="9" t="s">
        <v>138</v>
      </c>
      <c r="C30" s="9" t="s">
        <v>139</v>
      </c>
      <c r="D30" s="9" t="s">
        <v>36</v>
      </c>
      <c r="E30" s="10">
        <v>927.9199829101562</v>
      </c>
      <c r="F30" s="17">
        <v>0.4660353783280584</v>
      </c>
      <c r="G30" s="20">
        <v>-2.057025624567463</v>
      </c>
      <c r="H30" s="20">
        <v>1.679533116257016</v>
      </c>
      <c r="I30" s="20">
        <v>1.336500578238815</v>
      </c>
      <c r="J30" s="20">
        <v>1.891627563090635</v>
      </c>
      <c r="K30" s="20">
        <v>-0.002885152552916025</v>
      </c>
      <c r="L30" s="20">
        <v>-2.633566528131504</v>
      </c>
      <c r="M30" s="20">
        <v>0.3099571924030959</v>
      </c>
      <c r="N30" s="20">
        <v>65.76973</v>
      </c>
      <c r="O30" s="20">
        <v>95.9529</v>
      </c>
      <c r="P30" s="12">
        <v>3.7152898</v>
      </c>
      <c r="Q30" s="12">
        <v>0.485</v>
      </c>
      <c r="R30" s="12">
        <v>1.445144191226068</v>
      </c>
      <c r="S30" s="11">
        <v>59.95407896820135</v>
      </c>
      <c r="T30" s="9" t="s">
        <v>114</v>
      </c>
    </row>
    <row r="31" spans="1:20" x14ac:dyDescent="0.25">
      <c r="A31" s="11">
        <v>27</v>
      </c>
      <c r="B31" s="9" t="s">
        <v>140</v>
      </c>
      <c r="C31" s="9" t="s">
        <v>141</v>
      </c>
      <c r="D31" s="9" t="s">
        <v>61</v>
      </c>
      <c r="E31" s="10">
        <v>63.77000045776367</v>
      </c>
      <c r="F31" s="17">
        <v>0.4539940047823754</v>
      </c>
      <c r="G31" s="20">
        <v>0.4625864400742329</v>
      </c>
      <c r="H31" s="20">
        <v>0.6588490782651485</v>
      </c>
      <c r="I31" s="20">
        <v>0.2249472925442899</v>
      </c>
      <c r="J31" s="20">
        <v>0.4534791032858085</v>
      </c>
      <c r="K31" s="20">
        <v>0.7861728330537516</v>
      </c>
      <c r="L31" s="20">
        <v>0.6755616529343835</v>
      </c>
      <c r="M31" s="20">
        <v>-0.3512538292011881</v>
      </c>
      <c r="N31" s="20">
        <v>13.845816</v>
      </c>
      <c r="O31" s="20">
        <v>5.7537756</v>
      </c>
      <c r="P31" s="12">
        <v>0.46598998</v>
      </c>
      <c r="Q31" s="12">
        <v>0.057</v>
      </c>
      <c r="R31" s="12">
        <v>0.1129963107900553</v>
      </c>
      <c r="S31" s="11">
        <v>49.72559642745656</v>
      </c>
      <c r="T31" s="9" t="s">
        <v>114</v>
      </c>
    </row>
    <row r="32" spans="1:20" x14ac:dyDescent="0.25">
      <c r="A32" s="11">
        <v>28</v>
      </c>
      <c r="B32" s="9" t="s">
        <v>142</v>
      </c>
      <c r="C32" s="9" t="s">
        <v>143</v>
      </c>
      <c r="D32" s="9" t="s">
        <v>59</v>
      </c>
      <c r="E32" s="10">
        <v>30.86499977111816</v>
      </c>
      <c r="F32" s="17">
        <v>0.4416691599546687</v>
      </c>
      <c r="G32" s="20">
        <v>-0.05525750799347566</v>
      </c>
      <c r="H32" s="20">
        <v>-1.002892332074208</v>
      </c>
      <c r="I32" s="20">
        <v>-1.204760955881624</v>
      </c>
      <c r="J32" s="20">
        <v>0.8371098194066106</v>
      </c>
      <c r="K32" s="20">
        <v>4.134420649754185</v>
      </c>
      <c r="L32" s="20">
        <v>0.5097750836511118</v>
      </c>
      <c r="M32" s="20">
        <v>-0.5661943587252758</v>
      </c>
      <c r="N32" s="20">
        <v>495.98203</v>
      </c>
      <c r="O32" s="20">
        <v>2.3569846</v>
      </c>
      <c r="P32" s="12">
        <v>-0.08785999999999999</v>
      </c>
      <c r="Q32" s="12">
        <v>-0.112</v>
      </c>
      <c r="R32" s="12">
        <v>0.1401920989684957</v>
      </c>
      <c r="S32" s="11">
        <v>75.46657005707851</v>
      </c>
      <c r="T32" s="9" t="s">
        <v>114</v>
      </c>
    </row>
    <row r="33" spans="1:20" x14ac:dyDescent="0.25">
      <c r="A33" s="11">
        <v>29</v>
      </c>
      <c r="B33" s="9" t="s">
        <v>144</v>
      </c>
      <c r="C33" s="9" t="s">
        <v>145</v>
      </c>
      <c r="D33" s="9" t="s">
        <v>36</v>
      </c>
      <c r="E33" s="10">
        <v>399.260009765625</v>
      </c>
      <c r="F33" s="17">
        <v>0.4340852820575317</v>
      </c>
      <c r="G33" s="20">
        <v>-1.18924796979833</v>
      </c>
      <c r="H33" s="20">
        <v>0.5645521718938252</v>
      </c>
      <c r="I33" s="20">
        <v>3.655490679943009</v>
      </c>
      <c r="J33" s="20">
        <v>0.9298439080412395</v>
      </c>
      <c r="K33" s="20">
        <v>0.4100467900744712</v>
      </c>
      <c r="L33" s="20">
        <v>-2.838770508056338</v>
      </c>
      <c r="M33" s="20">
        <v>0.4304993048248728</v>
      </c>
      <c r="N33" s="20">
        <v>54.647465</v>
      </c>
      <c r="O33" s="20">
        <v>19.836678</v>
      </c>
      <c r="P33" s="12">
        <v>0.36465</v>
      </c>
      <c r="Q33" s="12">
        <v>1.039</v>
      </c>
      <c r="R33" s="12">
        <v>0.351660105672251</v>
      </c>
      <c r="S33" s="11">
        <v>58.33701597271295</v>
      </c>
      <c r="T33" s="9" t="s">
        <v>114</v>
      </c>
    </row>
    <row r="34" spans="1:20" x14ac:dyDescent="0.25">
      <c r="A34" s="11">
        <v>30</v>
      </c>
      <c r="B34" s="9" t="s">
        <v>146</v>
      </c>
      <c r="C34" s="9" t="s">
        <v>147</v>
      </c>
      <c r="D34" s="9" t="s">
        <v>61</v>
      </c>
      <c r="E34" s="10">
        <v>442.8150024414062</v>
      </c>
      <c r="F34" s="17">
        <v>0.4324574127476602</v>
      </c>
      <c r="G34" s="20">
        <v>-0.9301946228299454</v>
      </c>
      <c r="H34" s="20">
        <v>-0.4371628130044394</v>
      </c>
      <c r="I34" s="20">
        <v>4.097268549112698</v>
      </c>
      <c r="J34" s="20">
        <v>1.150081896455197</v>
      </c>
      <c r="K34" s="20">
        <v>-0.5413605063087762</v>
      </c>
      <c r="L34" s="20">
        <v>0.5692856352423001</v>
      </c>
      <c r="M34" s="20">
        <v>-0.6763350783444144</v>
      </c>
      <c r="N34" s="20">
        <v>109.756966</v>
      </c>
      <c r="O34" s="20">
        <v>2.8025289</v>
      </c>
      <c r="P34" s="12">
        <v>0.019199999</v>
      </c>
      <c r="Q34" s="12">
        <v>1.134</v>
      </c>
      <c r="R34" s="12">
        <v>0.5313839979018902</v>
      </c>
      <c r="S34" s="11">
        <v>68.59537416948298</v>
      </c>
      <c r="T34" s="9" t="s">
        <v>114</v>
      </c>
    </row>
    <row r="35" spans="1:20" x14ac:dyDescent="0.25">
      <c r="A35" s="11">
        <v>31</v>
      </c>
      <c r="B35" s="9" t="s">
        <v>148</v>
      </c>
      <c r="C35" s="9" t="s">
        <v>149</v>
      </c>
      <c r="D35" s="9" t="s">
        <v>61</v>
      </c>
      <c r="E35" s="10">
        <v>1189.619995117188</v>
      </c>
      <c r="F35" s="17">
        <v>0.4209411778353496</v>
      </c>
      <c r="G35" s="20">
        <v>-1.110237185891371</v>
      </c>
      <c r="H35" s="20">
        <v>1.802861565242851</v>
      </c>
      <c r="I35" s="20">
        <v>0.7254634342718127</v>
      </c>
      <c r="J35" s="20">
        <v>0.5077776363257624</v>
      </c>
      <c r="K35" s="20">
        <v>0.7624758839652448</v>
      </c>
      <c r="L35" s="20">
        <v>0.3789378606437047</v>
      </c>
      <c r="M35" s="20">
        <v>-0.08483738978026956</v>
      </c>
      <c r="N35" s="20">
        <v>39.686787</v>
      </c>
      <c r="O35" s="20">
        <v>31.142046</v>
      </c>
      <c r="P35" s="12">
        <v>1.02286</v>
      </c>
      <c r="Q35" s="12">
        <v>0.477</v>
      </c>
      <c r="R35" s="12">
        <v>0.3588261076926391</v>
      </c>
      <c r="S35" s="11">
        <v>57.34612121888821</v>
      </c>
      <c r="T35" s="9" t="s">
        <v>114</v>
      </c>
    </row>
    <row r="36" spans="1:20" x14ac:dyDescent="0.25">
      <c r="A36" s="11">
        <v>32</v>
      </c>
      <c r="B36" s="9" t="s">
        <v>3</v>
      </c>
      <c r="C36" s="9" t="s">
        <v>43</v>
      </c>
      <c r="D36" s="9" t="s">
        <v>36</v>
      </c>
      <c r="E36" s="10">
        <v>457.5499877929688</v>
      </c>
      <c r="F36" s="17">
        <v>0.4066842730473901</v>
      </c>
      <c r="G36" s="20">
        <v>-0.8384379108839474</v>
      </c>
      <c r="H36" s="20">
        <v>2.151739124777599</v>
      </c>
      <c r="I36" s="20">
        <v>2.646453673822382</v>
      </c>
      <c r="J36" s="20">
        <v>0.3887841033340503</v>
      </c>
      <c r="K36" s="20">
        <v>-0.2156535039433402</v>
      </c>
      <c r="L36" s="20">
        <v>-3.018570158890117</v>
      </c>
      <c r="M36" s="20">
        <v>0.4879608583279895</v>
      </c>
      <c r="N36" s="20">
        <v>16.975473</v>
      </c>
      <c r="O36" s="20">
        <v>22.350464</v>
      </c>
      <c r="P36" s="12">
        <v>1.30853</v>
      </c>
      <c r="Q36" s="12">
        <v>0.438</v>
      </c>
      <c r="R36" s="12">
        <v>0.6627305870383517</v>
      </c>
      <c r="S36" s="11">
        <v>49.84296289253164</v>
      </c>
      <c r="T36" s="9" t="s">
        <v>114</v>
      </c>
    </row>
    <row r="37" spans="1:20" x14ac:dyDescent="0.25">
      <c r="A37" s="11">
        <v>33</v>
      </c>
      <c r="B37" s="9" t="s">
        <v>150</v>
      </c>
      <c r="C37" s="9" t="s">
        <v>151</v>
      </c>
      <c r="D37" s="9" t="s">
        <v>57</v>
      </c>
      <c r="E37" s="10">
        <v>196.9450073242188</v>
      </c>
      <c r="F37" s="17">
        <v>0.4047292037353874</v>
      </c>
      <c r="G37" s="20">
        <v>0.59238818351296</v>
      </c>
      <c r="H37" s="20">
        <v>-0.6603051797569764</v>
      </c>
      <c r="I37" s="20">
        <v>4.097268549112698</v>
      </c>
      <c r="J37" s="20">
        <v>-0.3831857575293212</v>
      </c>
      <c r="K37" s="20">
        <v>0.5870176226290656</v>
      </c>
      <c r="L37" s="20">
        <v>0.5101519073990183</v>
      </c>
      <c r="M37" s="20">
        <v>0.09907253315335429</v>
      </c>
      <c r="N37" s="20">
        <v>11.024229</v>
      </c>
      <c r="O37" s="20">
        <v>1.1926677</v>
      </c>
      <c r="P37" s="12">
        <v>0.09031</v>
      </c>
      <c r="Q37" s="12">
        <v>11.11</v>
      </c>
      <c r="R37" s="12">
        <v>0.1271372137791889</v>
      </c>
      <c r="S37" s="11">
        <v>35.63484053806768</v>
      </c>
      <c r="T37" s="9" t="s">
        <v>114</v>
      </c>
    </row>
    <row r="38" spans="1:20" x14ac:dyDescent="0.25">
      <c r="A38" s="11">
        <v>34</v>
      </c>
      <c r="B38" s="9" t="s">
        <v>152</v>
      </c>
      <c r="C38" s="9" t="s">
        <v>153</v>
      </c>
      <c r="D38" s="9" t="s">
        <v>46</v>
      </c>
      <c r="E38" s="10">
        <v>205.8549957275391</v>
      </c>
      <c r="F38" s="17">
        <v>0.4008023788220942</v>
      </c>
      <c r="G38" s="20">
        <v>0.4853183280948471</v>
      </c>
      <c r="H38" s="20">
        <v>-0.3300127972283673</v>
      </c>
      <c r="I38" s="20">
        <v>2.301619691710589</v>
      </c>
      <c r="J38" s="20">
        <v>0.5427166184456972</v>
      </c>
      <c r="K38" s="20">
        <v>-0.1667470345479109</v>
      </c>
      <c r="L38" s="20">
        <v>0.7652147627798236</v>
      </c>
      <c r="M38" s="20">
        <v>-0.6579133625530958</v>
      </c>
      <c r="N38" s="20">
        <v>19.639769</v>
      </c>
      <c r="O38" s="20">
        <v>2.1120868</v>
      </c>
      <c r="P38" s="12">
        <v>0.12231</v>
      </c>
      <c r="Q38" s="12">
        <v>0.535</v>
      </c>
      <c r="R38" s="12">
        <v>-0.007561224326154692</v>
      </c>
      <c r="S38" s="11">
        <v>50.41487690065946</v>
      </c>
      <c r="T38" s="9" t="s">
        <v>114</v>
      </c>
    </row>
    <row r="39" spans="1:20" x14ac:dyDescent="0.25">
      <c r="A39" s="11">
        <v>35</v>
      </c>
      <c r="B39" s="9" t="s">
        <v>154</v>
      </c>
      <c r="C39" s="9" t="s">
        <v>155</v>
      </c>
      <c r="D39" s="9" t="s">
        <v>61</v>
      </c>
      <c r="E39" s="10">
        <v>175.5899963378906</v>
      </c>
      <c r="F39" s="17">
        <v>0.3959957828617787</v>
      </c>
      <c r="G39" s="20">
        <v>-0.2374479080738863</v>
      </c>
      <c r="H39" s="20">
        <v>0.1553448042906527</v>
      </c>
      <c r="I39" s="20">
        <v>-0.4072863312933673</v>
      </c>
      <c r="J39" s="20">
        <v>1.542886067077079</v>
      </c>
      <c r="K39" s="20">
        <v>-0.1581757976435574</v>
      </c>
      <c r="L39" s="20">
        <v>0.4356010535850259</v>
      </c>
      <c r="M39" s="20">
        <v>-0.1926364607885975</v>
      </c>
      <c r="N39" s="20">
        <v>34.14822</v>
      </c>
      <c r="O39" s="20">
        <v>6.61701</v>
      </c>
      <c r="P39" s="12">
        <v>0.20971</v>
      </c>
      <c r="Q39" s="12">
        <v>0.081</v>
      </c>
      <c r="R39" s="12">
        <v>0.599502557752186</v>
      </c>
      <c r="S39" s="11">
        <v>77.0049965636023</v>
      </c>
      <c r="T39" s="9" t="s">
        <v>114</v>
      </c>
    </row>
    <row r="40" spans="1:20" x14ac:dyDescent="0.25">
      <c r="A40" s="11">
        <v>36</v>
      </c>
      <c r="B40" s="9" t="s">
        <v>156</v>
      </c>
      <c r="C40" s="9" t="s">
        <v>157</v>
      </c>
      <c r="D40" s="9" t="s">
        <v>158</v>
      </c>
      <c r="E40" s="10">
        <v>265.3800048828125</v>
      </c>
      <c r="F40" s="17">
        <v>0.3945488872779208</v>
      </c>
      <c r="G40" s="20">
        <v>-3.850609330339901</v>
      </c>
      <c r="H40" s="20">
        <v>-0.4558428702845563</v>
      </c>
      <c r="I40" s="20">
        <v>4.097268549112698</v>
      </c>
      <c r="J40" s="20">
        <v>1.571168978170827</v>
      </c>
      <c r="K40" s="20">
        <v>4.017529145995051</v>
      </c>
      <c r="L40" s="20">
        <v>-3.018570158890117</v>
      </c>
      <c r="M40" s="20">
        <v>-0.2684176295485651</v>
      </c>
      <c r="N40" s="20">
        <v>384.93335</v>
      </c>
      <c r="O40" s="20">
        <v>52.538673</v>
      </c>
      <c r="P40" s="12">
        <v>0.22213</v>
      </c>
      <c r="Q40" s="12">
        <v>1.655</v>
      </c>
      <c r="R40" s="12">
        <v>0.991744175486603</v>
      </c>
      <c r="S40" s="11">
        <v>53.55319536339297</v>
      </c>
      <c r="T40" s="9" t="s">
        <v>114</v>
      </c>
    </row>
    <row r="41" spans="1:20" x14ac:dyDescent="0.25">
      <c r="A41" s="11">
        <v>37</v>
      </c>
      <c r="B41" s="9" t="s">
        <v>159</v>
      </c>
      <c r="C41" s="9" t="s">
        <v>160</v>
      </c>
      <c r="D41" s="9" t="s">
        <v>57</v>
      </c>
      <c r="E41" s="10">
        <v>916.4749755859375</v>
      </c>
      <c r="F41" s="17">
        <v>0.3927788102553957</v>
      </c>
      <c r="G41" s="20">
        <v>0.4149604359308066</v>
      </c>
      <c r="H41" s="20">
        <v>0.8229528906242468</v>
      </c>
      <c r="I41" s="20">
        <v>0.9059327383427908</v>
      </c>
      <c r="J41" s="20">
        <v>-0.3495608311282122</v>
      </c>
      <c r="K41" s="20">
        <v>1.619599574400603</v>
      </c>
      <c r="L41" s="20">
        <v>-0.07737643281161549</v>
      </c>
      <c r="M41" s="20">
        <v>0.1372385229097522</v>
      </c>
      <c r="N41" s="20">
        <v>14.451568</v>
      </c>
      <c r="O41" s="20">
        <v>2.5837662</v>
      </c>
      <c r="P41" s="12">
        <v>0.16902</v>
      </c>
      <c r="Q41" s="12">
        <v>0.425</v>
      </c>
      <c r="R41" s="12">
        <v>0.1521159481405623</v>
      </c>
      <c r="S41" s="11">
        <v>33.14434947562151</v>
      </c>
      <c r="T41" s="9" t="s">
        <v>114</v>
      </c>
    </row>
    <row r="42" spans="1:20" x14ac:dyDescent="0.25">
      <c r="A42" s="11">
        <v>38</v>
      </c>
      <c r="B42" s="9" t="s">
        <v>14</v>
      </c>
      <c r="C42" s="9" t="s">
        <v>64</v>
      </c>
      <c r="D42" s="9" t="s">
        <v>57</v>
      </c>
      <c r="E42" s="10">
        <v>227.5449981689453</v>
      </c>
      <c r="F42" s="17">
        <v>0.3924840923347749</v>
      </c>
      <c r="G42" s="20">
        <v>1.23099937351617</v>
      </c>
      <c r="H42" s="20">
        <v>0.1667435013429619</v>
      </c>
      <c r="I42" s="20">
        <v>-0.05584647993229746</v>
      </c>
      <c r="J42" s="20">
        <v>-0.2729983677486673</v>
      </c>
      <c r="K42" s="20">
        <v>1.809175167108658</v>
      </c>
      <c r="L42" s="20">
        <v>0.4022560131684436</v>
      </c>
      <c r="M42" s="20">
        <v>-0.1190872204790662</v>
      </c>
      <c r="N42" s="20">
        <v>4.5574694</v>
      </c>
      <c r="O42" s="20">
        <v>1.8238496</v>
      </c>
      <c r="P42" s="12">
        <v>0.46113998</v>
      </c>
      <c r="Q42" s="12">
        <v>0.118</v>
      </c>
      <c r="R42" s="12">
        <v>0.133124697530389</v>
      </c>
      <c r="S42" s="11">
        <v>27.93182429426359</v>
      </c>
      <c r="T42" s="9" t="s">
        <v>114</v>
      </c>
    </row>
    <row r="43" spans="1:20" x14ac:dyDescent="0.25">
      <c r="A43" s="11">
        <v>39</v>
      </c>
      <c r="B43" s="9" t="s">
        <v>161</v>
      </c>
      <c r="C43" s="9" t="s">
        <v>162</v>
      </c>
      <c r="D43" s="9" t="s">
        <v>61</v>
      </c>
      <c r="E43" s="10">
        <v>418.9200134277344</v>
      </c>
      <c r="F43" s="17">
        <v>0.3786226326188501</v>
      </c>
      <c r="G43" s="20">
        <v>-0.2196120997092874</v>
      </c>
      <c r="H43" s="20">
        <v>1.242182663983196</v>
      </c>
      <c r="I43" s="20">
        <v>-0.09888920711276358</v>
      </c>
      <c r="J43" s="20">
        <v>0.7768993099787701</v>
      </c>
      <c r="K43" s="20">
        <v>-0.008935437426577335</v>
      </c>
      <c r="L43" s="20">
        <v>0.1129790025485551</v>
      </c>
      <c r="M43" s="20">
        <v>-0.1185471951858539</v>
      </c>
      <c r="N43" s="20">
        <v>25.768177</v>
      </c>
      <c r="O43" s="20">
        <v>19.177149</v>
      </c>
      <c r="P43" s="12">
        <v>0.91473</v>
      </c>
      <c r="Q43" s="12">
        <v>0.095</v>
      </c>
      <c r="R43" s="12">
        <v>0.2172783265526801</v>
      </c>
      <c r="S43" s="11">
        <v>58.6262601877475</v>
      </c>
      <c r="T43" s="9" t="s">
        <v>114</v>
      </c>
    </row>
    <row r="44" spans="1:20" x14ac:dyDescent="0.25">
      <c r="A44" s="11">
        <v>40</v>
      </c>
      <c r="B44" s="9" t="s">
        <v>163</v>
      </c>
      <c r="C44" s="9" t="s">
        <v>164</v>
      </c>
      <c r="D44" s="9" t="s">
        <v>36</v>
      </c>
      <c r="E44" s="10">
        <v>359.5350036621094</v>
      </c>
      <c r="F44" s="17">
        <v>0.3661492842212424</v>
      </c>
      <c r="G44" s="20">
        <v>-0.5841071338335053</v>
      </c>
      <c r="H44" s="20">
        <v>0.2793198048091971</v>
      </c>
      <c r="I44" s="20">
        <v>0.8280381860846351</v>
      </c>
      <c r="J44" s="20">
        <v>0.9659447867091276</v>
      </c>
      <c r="K44" s="20">
        <v>0.5819757185676813</v>
      </c>
      <c r="L44" s="20">
        <v>-0.2739840361033444</v>
      </c>
      <c r="M44" s="20">
        <v>0.007651260733486431</v>
      </c>
      <c r="N44" s="20">
        <v>49.005413</v>
      </c>
      <c r="O44" s="20">
        <v>9.385771999999999</v>
      </c>
      <c r="P44" s="12">
        <v>0.20897</v>
      </c>
      <c r="Q44" s="12">
        <v>0.365</v>
      </c>
      <c r="R44" s="12">
        <v>0.2883788676541446</v>
      </c>
      <c r="S44" s="11">
        <v>64.26304420285817</v>
      </c>
      <c r="T44" s="9" t="s">
        <v>114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165</v>
      </c>
    </row>
    <row r="2" spans="1:3" x14ac:dyDescent="0.25">
      <c r="A2" s="2" t="s">
        <v>166</v>
      </c>
    </row>
    <row r="4" spans="1:3" x14ac:dyDescent="0.25">
      <c r="A4" s="8" t="s">
        <v>167</v>
      </c>
    </row>
    <row r="5" spans="1:3" ht="30" customHeight="1" x14ac:dyDescent="0.25">
      <c r="A5" s="15" t="s">
        <v>168</v>
      </c>
      <c r="B5" s="15" t="s">
        <v>169</v>
      </c>
      <c r="C5" s="15" t="s">
        <v>170</v>
      </c>
    </row>
    <row r="6" spans="1:3" x14ac:dyDescent="0.25">
      <c r="A6" s="9" t="s">
        <v>171</v>
      </c>
      <c r="B6" s="12">
        <v>0.18</v>
      </c>
      <c r="C6" s="9" t="s">
        <v>172</v>
      </c>
    </row>
    <row r="7" spans="1:3" x14ac:dyDescent="0.25">
      <c r="A7" s="9" t="s">
        <v>173</v>
      </c>
      <c r="B7" s="12">
        <v>0.16</v>
      </c>
      <c r="C7" s="9" t="s">
        <v>174</v>
      </c>
    </row>
    <row r="8" spans="1:3" x14ac:dyDescent="0.25">
      <c r="A8" s="9" t="s">
        <v>175</v>
      </c>
      <c r="B8" s="12">
        <v>0.1</v>
      </c>
      <c r="C8" s="9" t="s">
        <v>176</v>
      </c>
    </row>
    <row r="9" spans="1:3" x14ac:dyDescent="0.25">
      <c r="A9" s="9" t="s">
        <v>177</v>
      </c>
      <c r="B9" s="12">
        <v>0.3</v>
      </c>
      <c r="C9" s="9" t="s">
        <v>178</v>
      </c>
    </row>
    <row r="10" spans="1:3" x14ac:dyDescent="0.25">
      <c r="A10" s="9" t="s">
        <v>179</v>
      </c>
      <c r="B10" s="12">
        <v>0.12</v>
      </c>
      <c r="C10" s="9" t="s">
        <v>180</v>
      </c>
    </row>
    <row r="11" spans="1:3" x14ac:dyDescent="0.25">
      <c r="A11" s="9" t="s">
        <v>181</v>
      </c>
      <c r="B11" s="12">
        <v>0.06</v>
      </c>
      <c r="C11" s="9" t="s">
        <v>182</v>
      </c>
    </row>
    <row r="12" spans="1:3" x14ac:dyDescent="0.25">
      <c r="A12" s="9" t="s">
        <v>183</v>
      </c>
      <c r="B12" s="12">
        <v>0.08</v>
      </c>
      <c r="C12" s="9" t="s">
        <v>184</v>
      </c>
    </row>
    <row r="13" spans="1:3" x14ac:dyDescent="0.25">
      <c r="A13" s="13" t="s">
        <v>185</v>
      </c>
      <c r="B13" s="12">
        <f>SUM(B6:B12)</f>
        <v>0.9999999999999999</v>
      </c>
    </row>
    <row r="15" spans="1:3" x14ac:dyDescent="0.25">
      <c r="A15" s="8" t="s">
        <v>186</v>
      </c>
    </row>
    <row r="16" spans="1:3" x14ac:dyDescent="0.25">
      <c r="A16" s="14" t="s">
        <v>187</v>
      </c>
    </row>
    <row r="18" spans="1:7" x14ac:dyDescent="0.25">
      <c r="A18" s="8" t="s">
        <v>188</v>
      </c>
    </row>
    <row r="19" spans="1:7" x14ac:dyDescent="0.25">
      <c r="A19" s="14" t="s">
        <v>189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215</v>
      </c>
    </row>
    <row r="3" spans="1:2">
      <c r="A3" s="8" t="s">
        <v>216</v>
      </c>
    </row>
    <row r="4" spans="1:2">
      <c r="A4" s="9" t="s">
        <v>217</v>
      </c>
      <c r="B4" s="9" t="s">
        <v>218</v>
      </c>
    </row>
    <row r="5" spans="1:2">
      <c r="A5" s="9" t="s">
        <v>219</v>
      </c>
      <c r="B5" s="9" t="s">
        <v>63</v>
      </c>
    </row>
    <row r="6" spans="1:2">
      <c r="A6" s="9" t="s">
        <v>220</v>
      </c>
      <c r="B6" s="9" t="s">
        <v>221</v>
      </c>
    </row>
    <row r="7" spans="1:2">
      <c r="A7" s="9" t="s">
        <v>222</v>
      </c>
      <c r="B7" s="9" t="s">
        <v>223</v>
      </c>
    </row>
    <row r="8" spans="1:2">
      <c r="A8" s="9" t="s">
        <v>224</v>
      </c>
      <c r="B8" s="9" t="s">
        <v>125</v>
      </c>
    </row>
    <row r="9" spans="1:2">
      <c r="A9" s="9" t="s">
        <v>225</v>
      </c>
      <c r="B9" s="9" t="s">
        <v>38</v>
      </c>
    </row>
    <row r="10" spans="1:2">
      <c r="A10" s="9" t="s">
        <v>226</v>
      </c>
      <c r="B10" s="9" t="s">
        <v>227</v>
      </c>
    </row>
    <row r="11" spans="1:2">
      <c r="A11" s="9" t="s">
        <v>228</v>
      </c>
      <c r="B11" s="9" t="s">
        <v>229</v>
      </c>
    </row>
    <row r="12" spans="1:2">
      <c r="A12" s="9" t="s">
        <v>230</v>
      </c>
      <c r="B12" s="9" t="s">
        <v>231</v>
      </c>
    </row>
    <row r="13" spans="1:2">
      <c r="A13" s="9" t="s">
        <v>232</v>
      </c>
      <c r="B13" s="9" t="s">
        <v>233</v>
      </c>
    </row>
    <row r="14" spans="1:2">
      <c r="A14" s="9" t="s">
        <v>234</v>
      </c>
      <c r="B14" s="9" t="s">
        <v>229</v>
      </c>
    </row>
    <row r="16" spans="1:2">
      <c r="A16" s="8" t="s">
        <v>235</v>
      </c>
    </row>
    <row r="17" spans="1:2" ht="30" customHeight="1">
      <c r="A17" s="13" t="s">
        <v>236</v>
      </c>
      <c r="B17" s="14" t="s">
        <v>237</v>
      </c>
    </row>
    <row r="18" spans="1:2" ht="30" customHeight="1">
      <c r="A18" s="13" t="s">
        <v>238</v>
      </c>
      <c r="B18" s="14" t="s">
        <v>239</v>
      </c>
    </row>
    <row r="19" spans="1:2" ht="30" customHeight="1">
      <c r="A19" s="13" t="s">
        <v>240</v>
      </c>
      <c r="B19" s="14" t="s">
        <v>241</v>
      </c>
    </row>
    <row r="20" spans="1:2" ht="30" customHeight="1">
      <c r="A20" s="13" t="s">
        <v>242</v>
      </c>
      <c r="B20" s="14" t="s">
        <v>243</v>
      </c>
    </row>
    <row r="22" spans="1:2">
      <c r="A22" s="8" t="s">
        <v>244</v>
      </c>
    </row>
    <row r="23" spans="1:2" ht="32" customHeight="1">
      <c r="A23" s="21" t="s">
        <v>245</v>
      </c>
      <c r="B23" s="21"/>
    </row>
    <row r="24" spans="1:2" ht="32" customHeight="1">
      <c r="A24" s="21" t="s">
        <v>246</v>
      </c>
      <c r="B24" s="21"/>
    </row>
    <row r="25" spans="1:2" ht="32" customHeight="1">
      <c r="A25" s="21" t="s">
        <v>247</v>
      </c>
      <c r="B25" s="21"/>
    </row>
    <row r="26" spans="1:2" ht="32" customHeight="1">
      <c r="A26" s="21" t="s">
        <v>248</v>
      </c>
      <c r="B26" s="21"/>
    </row>
    <row r="27" spans="1:2" ht="32" customHeight="1">
      <c r="A27" s="21" t="s">
        <v>249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17"/>
  <sheetViews>
    <sheetView workbookViewId="0"/>
  </sheetViews>
  <sheetFormatPr defaultRowHeight="15"/>
  <sheetData>
    <row r="1" spans="1:61">
      <c r="A1" t="s">
        <v>0</v>
      </c>
      <c r="B1">
        <v>411.1206359863281</v>
      </c>
      <c r="C1">
        <v>416.5915832519531</v>
      </c>
      <c r="D1">
        <v>431.2573547363281</v>
      </c>
      <c r="E1">
        <v>449.4772644042969</v>
      </c>
      <c r="F1">
        <v>434.2524108886719</v>
      </c>
      <c r="G1">
        <v>426.4053649902344</v>
      </c>
      <c r="H1">
        <v>456.7851867675781</v>
      </c>
      <c r="I1">
        <v>411.9991760253906</v>
      </c>
      <c r="J1">
        <v>390.7343444824219</v>
      </c>
      <c r="K1">
        <v>395.6861267089844</v>
      </c>
      <c r="L1">
        <v>381.25</v>
      </c>
      <c r="M1">
        <v>404.1499938964844</v>
      </c>
      <c r="N1">
        <v>441.7999877929688</v>
      </c>
      <c r="O1">
        <v>439.3399963378906</v>
      </c>
      <c r="P1">
        <v>437.5</v>
      </c>
      <c r="Q1">
        <v>426.9100036621094</v>
      </c>
      <c r="R1">
        <v>392.1000061035156</v>
      </c>
      <c r="S1">
        <v>369.6400146484375</v>
      </c>
      <c r="T1">
        <v>404.8099975585938</v>
      </c>
      <c r="U1">
        <v>405.3699951171875</v>
      </c>
      <c r="V1">
        <v>429.0199890136719</v>
      </c>
      <c r="W1">
        <v>467.2699890136719</v>
      </c>
      <c r="X1">
        <v>462.7000122070312</v>
      </c>
      <c r="Y1">
        <v>437.6499938964844</v>
      </c>
      <c r="Z1">
        <v>453.7699890136719</v>
      </c>
      <c r="AA1">
        <v>457.8800048828125</v>
      </c>
      <c r="AB1">
        <v>440.9700012207031</v>
      </c>
      <c r="AC1">
        <v>484.5</v>
      </c>
      <c r="AD1">
        <v>494.510009765625</v>
      </c>
      <c r="AE1">
        <v>490.8099975585938</v>
      </c>
      <c r="AF1">
        <v>479.8099975585938</v>
      </c>
      <c r="AG1">
        <v>468.6499938964844</v>
      </c>
      <c r="AH1">
        <v>437.5499877929688</v>
      </c>
      <c r="AI1">
        <v>434.7799987792969</v>
      </c>
      <c r="AJ1">
        <v>442.0799865722656</v>
      </c>
      <c r="AK1">
        <v>433.1900024414062</v>
      </c>
      <c r="AL1">
        <v>451.5</v>
      </c>
      <c r="AM1">
        <v>463.8200073242188</v>
      </c>
      <c r="AN1">
        <v>472.260009765625</v>
      </c>
      <c r="AO1">
        <v>456.239990234375</v>
      </c>
      <c r="AP1">
        <v>456.010009765625</v>
      </c>
      <c r="AQ1">
        <v>425</v>
      </c>
      <c r="AR1">
        <v>492.2000122070312</v>
      </c>
      <c r="AS1">
        <v>516.3900146484375</v>
      </c>
      <c r="AT1">
        <v>524.1400146484375</v>
      </c>
      <c r="AU1">
        <v>533.8800048828125</v>
      </c>
      <c r="AV1">
        <v>535.25</v>
      </c>
      <c r="AW1">
        <v>506.6199951171875</v>
      </c>
      <c r="AX1">
        <v>567.2899780273438</v>
      </c>
      <c r="AY1">
        <v>534.280029296875</v>
      </c>
      <c r="AZ1">
        <v>543.510009765625</v>
      </c>
      <c r="BA1">
        <v>563.2899780273438</v>
      </c>
      <c r="BB1">
        <v>588.4000244140625</v>
      </c>
      <c r="BC1">
        <v>568.0599975585938</v>
      </c>
      <c r="BD1">
        <v>575.3099975585938</v>
      </c>
      <c r="BE1">
        <v>548.9199829101562</v>
      </c>
      <c r="BF1">
        <v>549.8300170898438</v>
      </c>
      <c r="BG1">
        <v>536.02001953125</v>
      </c>
      <c r="BH1">
        <v>562.8900146484375</v>
      </c>
      <c r="BI1">
        <v>543.5250244140625</v>
      </c>
    </row>
    <row r="2" spans="1:61">
      <c r="A2" t="s">
        <v>1</v>
      </c>
      <c r="B2">
        <v>984.75</v>
      </c>
      <c r="C2">
        <v>938.3800048828125</v>
      </c>
      <c r="D2">
        <v>948.7999877929688</v>
      </c>
      <c r="E2">
        <v>991.6400146484375</v>
      </c>
      <c r="F2">
        <v>979.2999877929688</v>
      </c>
      <c r="G2">
        <v>937</v>
      </c>
      <c r="H2">
        <v>983.1199951171875</v>
      </c>
      <c r="I2">
        <v>904.280029296875</v>
      </c>
      <c r="J2">
        <v>853.2000122070312</v>
      </c>
      <c r="K2">
        <v>848.9500122070312</v>
      </c>
      <c r="L2">
        <v>865.4600219726562</v>
      </c>
      <c r="M2">
        <v>970.8200073242188</v>
      </c>
      <c r="N2">
        <v>959.47998046875</v>
      </c>
      <c r="O2">
        <v>990.2100219726562</v>
      </c>
      <c r="P2">
        <v>920.9500122070312</v>
      </c>
      <c r="Q2">
        <v>900.2000122070312</v>
      </c>
      <c r="R2">
        <v>820.530029296875</v>
      </c>
      <c r="S2">
        <v>739</v>
      </c>
      <c r="T2">
        <v>874.6599731445312</v>
      </c>
      <c r="U2">
        <v>823.030029296875</v>
      </c>
      <c r="V2">
        <v>829.5</v>
      </c>
      <c r="W2">
        <v>892.6699829101562</v>
      </c>
      <c r="X2">
        <v>893.1900024414062</v>
      </c>
      <c r="Y2">
        <v>881.469970703125</v>
      </c>
      <c r="Z2">
        <v>877.5700073242188</v>
      </c>
      <c r="AA2">
        <v>861</v>
      </c>
      <c r="AB2">
        <v>868.52001953125</v>
      </c>
      <c r="AC2">
        <v>911.2899780273438</v>
      </c>
      <c r="AD2">
        <v>949.8300170898438</v>
      </c>
      <c r="AE2">
        <v>971.6599731445312</v>
      </c>
      <c r="AF2">
        <v>1011.75</v>
      </c>
      <c r="AG2">
        <v>940.760009765625</v>
      </c>
      <c r="AH2">
        <v>937.1099853515625</v>
      </c>
      <c r="AI2">
        <v>974.3300170898438</v>
      </c>
      <c r="AJ2">
        <v>966.780029296875</v>
      </c>
      <c r="AK2">
        <v>910.4299926757812</v>
      </c>
      <c r="AL2">
        <v>932.969970703125</v>
      </c>
      <c r="AM2">
        <v>938.4000244140625</v>
      </c>
      <c r="AN2">
        <v>935.3900146484375</v>
      </c>
      <c r="AO2">
        <v>932.8599853515625</v>
      </c>
      <c r="AP2">
        <v>958.72998046875</v>
      </c>
      <c r="AQ2">
        <v>933.4400024414062</v>
      </c>
      <c r="AR2">
        <v>956.0800170898438</v>
      </c>
      <c r="AS2">
        <v>958.1599731445312</v>
      </c>
      <c r="AT2">
        <v>1016.590026855469</v>
      </c>
      <c r="AU2">
        <v>1000.260009765625</v>
      </c>
      <c r="AV2">
        <v>1027.77001953125</v>
      </c>
      <c r="AW2">
        <v>977.4099731445312</v>
      </c>
      <c r="AX2">
        <v>975.260009765625</v>
      </c>
      <c r="AY2">
        <v>924.030029296875</v>
      </c>
      <c r="AZ2">
        <v>927.5999755859375</v>
      </c>
      <c r="BA2">
        <v>926.5499877929688</v>
      </c>
      <c r="BB2">
        <v>977.5</v>
      </c>
      <c r="BC2">
        <v>1015.799987792969</v>
      </c>
      <c r="BD2">
        <v>1043.9599609375</v>
      </c>
      <c r="BE2">
        <v>1096.160034179688</v>
      </c>
      <c r="BF2">
        <v>1071.880004882812</v>
      </c>
      <c r="BG2">
        <v>1080.530029296875</v>
      </c>
      <c r="BH2">
        <v>1082.280029296875</v>
      </c>
      <c r="BI2">
        <v>1056.72998046875</v>
      </c>
    </row>
    <row r="3" spans="1:61">
      <c r="A3" t="s">
        <v>2</v>
      </c>
      <c r="B3">
        <v>1744.430053710938</v>
      </c>
      <c r="C3">
        <v>1617.699951171875</v>
      </c>
      <c r="D3">
        <v>1727.180053710938</v>
      </c>
      <c r="E3">
        <v>1858.27001953125</v>
      </c>
      <c r="F3">
        <v>1915.920043945312</v>
      </c>
      <c r="G3">
        <v>1673.969970703125</v>
      </c>
      <c r="H3">
        <v>1757.819946289062</v>
      </c>
      <c r="I3">
        <v>1615</v>
      </c>
      <c r="J3">
        <v>1411.079956054688</v>
      </c>
      <c r="K3">
        <v>1354.819946289062</v>
      </c>
      <c r="L3">
        <v>1390.949951171875</v>
      </c>
      <c r="M3">
        <v>1589.400024414062</v>
      </c>
      <c r="N3">
        <v>1599.27001953125</v>
      </c>
      <c r="O3">
        <v>1610.329956054688</v>
      </c>
      <c r="P3">
        <v>1436.56005859375</v>
      </c>
      <c r="Q3">
        <v>1278.22998046875</v>
      </c>
      <c r="R3">
        <v>1096.099975585938</v>
      </c>
      <c r="S3">
        <v>1015.890014648438</v>
      </c>
      <c r="T3">
        <v>1279.9599609375</v>
      </c>
      <c r="U3">
        <v>1214.829956054688</v>
      </c>
      <c r="V3">
        <v>1288.030029296875</v>
      </c>
      <c r="W3">
        <v>1427.619995117188</v>
      </c>
      <c r="X3">
        <v>1350.5</v>
      </c>
      <c r="Y3">
        <v>1258.579956054688</v>
      </c>
      <c r="Z3">
        <v>1212.2099609375</v>
      </c>
      <c r="AA3">
        <v>1237.920043945312</v>
      </c>
      <c r="AB3">
        <v>1271.050048828125</v>
      </c>
      <c r="AC3">
        <v>1344.2900390625</v>
      </c>
      <c r="AD3">
        <v>1528.109985351562</v>
      </c>
      <c r="AE3">
        <v>1641.109985351562</v>
      </c>
      <c r="AF3">
        <v>1786.849975585938</v>
      </c>
      <c r="AG3">
        <v>1625.780029296875</v>
      </c>
      <c r="AH3">
        <v>1568.869995117188</v>
      </c>
      <c r="AI3">
        <v>1600.619995117188</v>
      </c>
      <c r="AJ3">
        <v>1596.079956054688</v>
      </c>
      <c r="AK3">
        <v>1493.119995117188</v>
      </c>
      <c r="AL3">
        <v>1480.77001953125</v>
      </c>
      <c r="AM3">
        <v>1499.369995117188</v>
      </c>
      <c r="AN3">
        <v>1484.949951171875</v>
      </c>
      <c r="AO3">
        <v>1484.97998046875</v>
      </c>
      <c r="AP3">
        <v>1566.699951171875</v>
      </c>
      <c r="AQ3">
        <v>1536.869995117188</v>
      </c>
      <c r="AR3">
        <v>1553.400024414062</v>
      </c>
      <c r="AS3">
        <v>1554.989990234375</v>
      </c>
      <c r="AT3">
        <v>1740</v>
      </c>
      <c r="AU3">
        <v>1737.989990234375</v>
      </c>
      <c r="AV3">
        <v>1764.170043945312</v>
      </c>
      <c r="AW3">
        <v>1692.589965820312</v>
      </c>
      <c r="AX3">
        <v>1633.349975585938</v>
      </c>
      <c r="AY3">
        <v>1551.989990234375</v>
      </c>
      <c r="AZ3">
        <v>1530.89501953125</v>
      </c>
      <c r="BA3">
        <v>1519.969970703125</v>
      </c>
      <c r="BB3">
        <v>1614.390014648438</v>
      </c>
      <c r="BC3">
        <v>1791.819946289062</v>
      </c>
      <c r="BD3">
        <v>1766.640014648438</v>
      </c>
      <c r="BE3">
        <v>1887.0400390625</v>
      </c>
      <c r="BF3">
        <v>1816.569946289062</v>
      </c>
      <c r="BG3">
        <v>1753.619995117188</v>
      </c>
      <c r="BH3">
        <v>1777.800048828125</v>
      </c>
      <c r="BI3">
        <v>1710.055053710938</v>
      </c>
    </row>
    <row r="4" spans="1:61">
      <c r="A4" t="s">
        <v>3</v>
      </c>
      <c r="B4">
        <v>577.2747192382812</v>
      </c>
      <c r="C4">
        <v>531.92919921875</v>
      </c>
      <c r="D4">
        <v>550.1234130859375</v>
      </c>
      <c r="E4">
        <v>577.864501953125</v>
      </c>
      <c r="F4">
        <v>582.403076171875</v>
      </c>
      <c r="G4">
        <v>555.3717041015625</v>
      </c>
      <c r="H4">
        <v>563.1392211914062</v>
      </c>
      <c r="I4">
        <v>513.6751098632812</v>
      </c>
      <c r="J4">
        <v>466.6601867675781</v>
      </c>
      <c r="K4">
        <v>477.0668640136719</v>
      </c>
      <c r="L4">
        <v>487.2635803222656</v>
      </c>
      <c r="M4">
        <v>548.2140502929688</v>
      </c>
      <c r="N4">
        <v>556.4913330078125</v>
      </c>
      <c r="O4">
        <v>558.120849609375</v>
      </c>
      <c r="P4">
        <v>519.6331787109375</v>
      </c>
      <c r="Q4">
        <v>497.7602233886719</v>
      </c>
      <c r="R4">
        <v>463.3612670898438</v>
      </c>
      <c r="S4">
        <v>461.8917236328125</v>
      </c>
      <c r="T4">
        <v>532.868896484375</v>
      </c>
      <c r="U4">
        <v>544.6651611328125</v>
      </c>
      <c r="V4">
        <v>527.05078125</v>
      </c>
      <c r="W4">
        <v>548.3839721679688</v>
      </c>
      <c r="X4">
        <v>519.0033569335938</v>
      </c>
      <c r="Y4">
        <v>451.3750915527344</v>
      </c>
      <c r="Z4">
        <v>434.1606140136719</v>
      </c>
      <c r="AA4">
        <v>438.1993408203125</v>
      </c>
      <c r="AB4">
        <v>437.7894592285156</v>
      </c>
      <c r="AC4">
        <v>453.9542846679688</v>
      </c>
      <c r="AD4">
        <v>487.1336364746094</v>
      </c>
      <c r="AE4">
        <v>508.63671875</v>
      </c>
      <c r="AF4">
        <v>535.8380126953125</v>
      </c>
      <c r="AG4">
        <v>496.0007934570312</v>
      </c>
      <c r="AH4">
        <v>461.9417114257812</v>
      </c>
      <c r="AI4">
        <v>468.8994750976562</v>
      </c>
      <c r="AJ4">
        <v>459.2925720214844</v>
      </c>
      <c r="AK4">
        <v>435.2402954101562</v>
      </c>
      <c r="AL4">
        <v>450.6053466796875</v>
      </c>
      <c r="AM4">
        <v>468.7295227050781</v>
      </c>
      <c r="AN4">
        <v>461.8517456054688</v>
      </c>
      <c r="AO4">
        <v>459.3025817871094</v>
      </c>
      <c r="AP4">
        <v>450.4053955078125</v>
      </c>
      <c r="AQ4">
        <v>450.2954406738281</v>
      </c>
      <c r="AR4">
        <v>448.7559509277344</v>
      </c>
      <c r="AS4">
        <v>441.4283142089844</v>
      </c>
      <c r="AT4">
        <v>467.3099670410156</v>
      </c>
      <c r="AU4">
        <v>477.2999877929688</v>
      </c>
      <c r="AV4">
        <v>482.2799987792969</v>
      </c>
      <c r="AW4">
        <v>460.9299926757812</v>
      </c>
      <c r="AX4">
        <v>447.1799926757812</v>
      </c>
      <c r="AY4">
        <v>426.9400024414062</v>
      </c>
      <c r="AZ4">
        <v>411.9599914550781</v>
      </c>
      <c r="BA4">
        <v>416.9700012207031</v>
      </c>
      <c r="BB4">
        <v>423.8699951171875</v>
      </c>
      <c r="BC4">
        <v>441.3599853515625</v>
      </c>
      <c r="BD4">
        <v>448.1700134277344</v>
      </c>
      <c r="BE4">
        <v>464.6000061035156</v>
      </c>
      <c r="BF4">
        <v>473.6900024414062</v>
      </c>
      <c r="BG4">
        <v>450.3099975585938</v>
      </c>
      <c r="BH4">
        <v>456.8099975585938</v>
      </c>
      <c r="BI4">
        <v>457.5499877929688</v>
      </c>
    </row>
    <row r="5" spans="1:61">
      <c r="A5" t="s">
        <v>4</v>
      </c>
      <c r="B5">
        <v>269.2793579101562</v>
      </c>
      <c r="C5">
        <v>265.1951293945312</v>
      </c>
      <c r="D5">
        <v>281.7909851074219</v>
      </c>
      <c r="E5">
        <v>280.1672668457031</v>
      </c>
      <c r="F5">
        <v>279.6094055175781</v>
      </c>
      <c r="G5">
        <v>294.6513061523438</v>
      </c>
      <c r="H5">
        <v>300.2695617675781</v>
      </c>
      <c r="I5">
        <v>291.5333251953125</v>
      </c>
      <c r="J5">
        <v>299.1040954589844</v>
      </c>
      <c r="K5">
        <v>308.4579162597656</v>
      </c>
      <c r="L5">
        <v>312.1038208007812</v>
      </c>
      <c r="M5">
        <v>313.5880737304688</v>
      </c>
      <c r="N5">
        <v>309.7230529785156</v>
      </c>
      <c r="O5">
        <v>304.0848388671875</v>
      </c>
      <c r="P5">
        <v>301.33544921875</v>
      </c>
      <c r="Q5">
        <v>303.756103515625</v>
      </c>
      <c r="R5">
        <v>297.7294006347656</v>
      </c>
      <c r="S5">
        <v>300.1600036621094</v>
      </c>
      <c r="T5">
        <v>310.5099792480469</v>
      </c>
      <c r="U5">
        <v>312.8999938964844</v>
      </c>
      <c r="V5">
        <v>307.5400085449219</v>
      </c>
      <c r="W5">
        <v>308.7300109863281</v>
      </c>
      <c r="X5">
        <v>302.3900146484375</v>
      </c>
      <c r="Y5">
        <v>302.989990234375</v>
      </c>
      <c r="Z5">
        <v>298.3099975585938</v>
      </c>
      <c r="AA5">
        <v>314.9500122070312</v>
      </c>
      <c r="AB5">
        <v>323.9200134277344</v>
      </c>
      <c r="AC5">
        <v>330.2099914550781</v>
      </c>
      <c r="AD5">
        <v>342.9200134277344</v>
      </c>
      <c r="AE5">
        <v>341.6700134277344</v>
      </c>
      <c r="AF5">
        <v>347.1900024414062</v>
      </c>
      <c r="AG5">
        <v>350.0499877929688</v>
      </c>
      <c r="AH5">
        <v>346.260009765625</v>
      </c>
      <c r="AI5">
        <v>341.510009765625</v>
      </c>
      <c r="AJ5">
        <v>348.8599853515625</v>
      </c>
      <c r="AK5">
        <v>346</v>
      </c>
      <c r="AL5">
        <v>340.4100036621094</v>
      </c>
      <c r="AM5">
        <v>348.0299987792969</v>
      </c>
      <c r="AN5">
        <v>346.5899963378906</v>
      </c>
      <c r="AO5">
        <v>352.3599853515625</v>
      </c>
      <c r="AP5">
        <v>358.9200134277344</v>
      </c>
      <c r="AQ5">
        <v>361.989990234375</v>
      </c>
      <c r="AR5">
        <v>366.0899963378906</v>
      </c>
      <c r="AS5">
        <v>370.6900024414062</v>
      </c>
      <c r="AT5">
        <v>370.7200012207031</v>
      </c>
      <c r="AU5">
        <v>382.8500061035156</v>
      </c>
      <c r="AV5">
        <v>388.9500122070312</v>
      </c>
      <c r="AW5">
        <v>385.4299926757812</v>
      </c>
      <c r="AX5">
        <v>390.4200134277344</v>
      </c>
      <c r="AY5">
        <v>382.9500122070312</v>
      </c>
      <c r="AZ5">
        <v>397.0400085449219</v>
      </c>
      <c r="BA5">
        <v>403.2799987792969</v>
      </c>
      <c r="BB5">
        <v>412.5299987792969</v>
      </c>
      <c r="BC5">
        <v>413.2799987792969</v>
      </c>
      <c r="BD5">
        <v>393.2699890136719</v>
      </c>
      <c r="BE5">
        <v>377.1400146484375</v>
      </c>
      <c r="BF5">
        <v>375.8399963378906</v>
      </c>
      <c r="BG5">
        <v>382.8599853515625</v>
      </c>
      <c r="BH5">
        <v>387.1799926757812</v>
      </c>
      <c r="BI5">
        <v>389.6199951171875</v>
      </c>
    </row>
    <row r="6" spans="1:61">
      <c r="A6" t="s">
        <v>5</v>
      </c>
      <c r="B6">
        <v>268.2554626464844</v>
      </c>
      <c r="C6">
        <v>265.6027221679688</v>
      </c>
      <c r="D6">
        <v>279.9135437011719</v>
      </c>
      <c r="E6">
        <v>282.5263977050781</v>
      </c>
      <c r="F6">
        <v>282.9651794433594</v>
      </c>
      <c r="G6">
        <v>296.0693359375</v>
      </c>
      <c r="H6">
        <v>302.5715026855469</v>
      </c>
      <c r="I6">
        <v>298.363037109375</v>
      </c>
      <c r="J6">
        <v>305.0148315429688</v>
      </c>
      <c r="K6">
        <v>311.7463989257812</v>
      </c>
      <c r="L6">
        <v>314.4490051269531</v>
      </c>
      <c r="M6">
        <v>318.8868408203125</v>
      </c>
      <c r="N6">
        <v>314.9576110839844</v>
      </c>
      <c r="O6">
        <v>311.4172973632812</v>
      </c>
      <c r="P6">
        <v>308.3955688476562</v>
      </c>
      <c r="Q6">
        <v>311.4970703125</v>
      </c>
      <c r="R6">
        <v>305.2142639160156</v>
      </c>
      <c r="S6">
        <v>307.8769836425781</v>
      </c>
      <c r="T6">
        <v>313.2223510742188</v>
      </c>
      <c r="U6">
        <v>315.6058349609375</v>
      </c>
      <c r="V6">
        <v>306.1915893554688</v>
      </c>
      <c r="W6">
        <v>311.75634765625</v>
      </c>
      <c r="X6">
        <v>296.9369506835938</v>
      </c>
      <c r="Y6">
        <v>298.432861328125</v>
      </c>
      <c r="Z6">
        <v>297.3857421875</v>
      </c>
      <c r="AA6">
        <v>319.4453125</v>
      </c>
      <c r="AB6">
        <v>335.5013732910156</v>
      </c>
      <c r="AC6">
        <v>347.2990417480469</v>
      </c>
      <c r="AD6">
        <v>355.3968811035156</v>
      </c>
      <c r="AE6">
        <v>354.4494934082031</v>
      </c>
      <c r="AF6">
        <v>357.2019348144531</v>
      </c>
      <c r="AG6">
        <v>365.2099914550781</v>
      </c>
      <c r="AH6">
        <v>360.75</v>
      </c>
      <c r="AI6">
        <v>358.2300109863281</v>
      </c>
      <c r="AJ6">
        <v>360.7200012207031</v>
      </c>
      <c r="AK6">
        <v>362.5199890136719</v>
      </c>
      <c r="AL6">
        <v>354.8800048828125</v>
      </c>
      <c r="AM6">
        <v>362.2699890136719</v>
      </c>
      <c r="AN6">
        <v>363.5400085449219</v>
      </c>
      <c r="AO6">
        <v>368.8299865722656</v>
      </c>
      <c r="AP6">
        <v>373.3200073242188</v>
      </c>
      <c r="AQ6">
        <v>383</v>
      </c>
      <c r="AR6">
        <v>387</v>
      </c>
      <c r="AS6">
        <v>387.7099914550781</v>
      </c>
      <c r="AT6">
        <v>388.8999938964844</v>
      </c>
      <c r="AU6">
        <v>397.7699890136719</v>
      </c>
      <c r="AV6">
        <v>399.4400024414062</v>
      </c>
      <c r="AW6">
        <v>392.4200134277344</v>
      </c>
      <c r="AX6">
        <v>395.9299926757812</v>
      </c>
      <c r="AY6">
        <v>396.4500122070312</v>
      </c>
      <c r="AZ6">
        <v>410.8399963378906</v>
      </c>
      <c r="BA6">
        <v>413.9200134277344</v>
      </c>
      <c r="BB6">
        <v>421.9599914550781</v>
      </c>
      <c r="BC6">
        <v>424.8900146484375</v>
      </c>
      <c r="BD6">
        <v>402.3800048828125</v>
      </c>
      <c r="BE6">
        <v>389.6799926757812</v>
      </c>
      <c r="BF6">
        <v>388.3800048828125</v>
      </c>
      <c r="BG6">
        <v>390.9500122070312</v>
      </c>
      <c r="BH6">
        <v>393.5199890136719</v>
      </c>
      <c r="BI6">
        <v>389.5150146484375</v>
      </c>
    </row>
    <row r="7" spans="1:61">
      <c r="A7" t="s">
        <v>6</v>
      </c>
      <c r="B7">
        <v>48.58705139160156</v>
      </c>
      <c r="C7">
        <v>51.44394302368164</v>
      </c>
      <c r="D7">
        <v>53.34521865844727</v>
      </c>
      <c r="E7">
        <v>52.06110763549805</v>
      </c>
      <c r="F7">
        <v>52.64841461181641</v>
      </c>
      <c r="G7">
        <v>54.55964660644531</v>
      </c>
      <c r="H7">
        <v>54.32073974609375</v>
      </c>
      <c r="I7">
        <v>53.52439498901367</v>
      </c>
      <c r="J7">
        <v>53.40494537353516</v>
      </c>
      <c r="K7">
        <v>54.60941696166992</v>
      </c>
      <c r="L7">
        <v>54.93790817260742</v>
      </c>
      <c r="M7">
        <v>56.24192428588867</v>
      </c>
      <c r="N7">
        <v>57.23735809326172</v>
      </c>
      <c r="O7">
        <v>57.33689880371094</v>
      </c>
      <c r="P7">
        <v>57.03827285766602</v>
      </c>
      <c r="Q7">
        <v>54.67909622192383</v>
      </c>
      <c r="R7">
        <v>53.68366622924805</v>
      </c>
      <c r="S7">
        <v>55.77407073974609</v>
      </c>
      <c r="T7">
        <v>55.69443893432617</v>
      </c>
      <c r="U7">
        <v>56.80932235717773</v>
      </c>
      <c r="V7">
        <v>55.21663284301758</v>
      </c>
      <c r="W7">
        <v>54.8383674621582</v>
      </c>
      <c r="X7">
        <v>53.56421279907227</v>
      </c>
      <c r="Y7">
        <v>55.78402709960938</v>
      </c>
      <c r="Z7">
        <v>55.65462112426758</v>
      </c>
      <c r="AA7">
        <v>58.38210678100586</v>
      </c>
      <c r="AB7">
        <v>58.79023361206055</v>
      </c>
      <c r="AC7">
        <v>58.28256225585938</v>
      </c>
      <c r="AD7">
        <v>57.43644714355469</v>
      </c>
      <c r="AE7">
        <v>58.09342956542969</v>
      </c>
      <c r="AF7">
        <v>58.77032470703125</v>
      </c>
      <c r="AG7">
        <v>59.52685165405273</v>
      </c>
      <c r="AH7">
        <v>59.81552886962891</v>
      </c>
      <c r="AI7">
        <v>61.23899841308594</v>
      </c>
      <c r="AJ7">
        <v>61.02000045776367</v>
      </c>
      <c r="AK7">
        <v>59.8354377746582</v>
      </c>
      <c r="AL7">
        <v>58.1431999206543</v>
      </c>
      <c r="AM7">
        <v>58.35224151611328</v>
      </c>
      <c r="AN7">
        <v>58.89972686767578</v>
      </c>
      <c r="AO7">
        <v>58.83004760742188</v>
      </c>
      <c r="AP7">
        <v>59.90511703491211</v>
      </c>
      <c r="AQ7">
        <v>60.67160034179688</v>
      </c>
      <c r="AR7">
        <v>60.63178253173828</v>
      </c>
      <c r="AS7">
        <v>60.33315277099609</v>
      </c>
      <c r="AT7">
        <v>59.7657585144043</v>
      </c>
      <c r="AU7">
        <v>60.37297058105469</v>
      </c>
      <c r="AV7">
        <v>61.02000045776367</v>
      </c>
      <c r="AW7">
        <v>61.15999984741211</v>
      </c>
      <c r="AX7">
        <v>61.45999908447266</v>
      </c>
      <c r="AY7">
        <v>61.77999877929688</v>
      </c>
      <c r="AZ7">
        <v>63.52000045776367</v>
      </c>
      <c r="BA7">
        <v>59.36000061035156</v>
      </c>
      <c r="BB7">
        <v>59.29000091552734</v>
      </c>
      <c r="BC7">
        <v>58.84000015258789</v>
      </c>
      <c r="BD7">
        <v>57.25</v>
      </c>
      <c r="BE7">
        <v>56.31000137329102</v>
      </c>
      <c r="BF7">
        <v>57.36000061035156</v>
      </c>
      <c r="BG7">
        <v>58.04999923706055</v>
      </c>
      <c r="BH7">
        <v>56.86000061035156</v>
      </c>
      <c r="BI7">
        <v>56.16500091552734</v>
      </c>
    </row>
    <row r="8" spans="1:61">
      <c r="A8" t="s">
        <v>7</v>
      </c>
      <c r="B8">
        <v>176.3937835693359</v>
      </c>
      <c r="C8">
        <v>177.8957977294922</v>
      </c>
      <c r="D8">
        <v>186.8184509277344</v>
      </c>
      <c r="E8">
        <v>188.8178405761719</v>
      </c>
      <c r="F8">
        <v>187.3655395507812</v>
      </c>
      <c r="G8">
        <v>197.2431182861328</v>
      </c>
      <c r="H8">
        <v>200.3864288330078</v>
      </c>
      <c r="I8">
        <v>195.1243743896484</v>
      </c>
      <c r="J8">
        <v>200.2571258544922</v>
      </c>
      <c r="K8">
        <v>205.7678680419922</v>
      </c>
      <c r="L8">
        <v>207.6976318359375</v>
      </c>
      <c r="M8">
        <v>211.1493225097656</v>
      </c>
      <c r="N8">
        <v>210.2938537597656</v>
      </c>
      <c r="O8">
        <v>205.8872375488281</v>
      </c>
      <c r="P8">
        <v>205.6783599853516</v>
      </c>
      <c r="Q8">
        <v>206.7228088378906</v>
      </c>
      <c r="R8">
        <v>204.7632141113281</v>
      </c>
      <c r="S8">
        <v>205.7181396484375</v>
      </c>
      <c r="T8">
        <v>209.4881286621094</v>
      </c>
      <c r="U8">
        <v>210.5624237060547</v>
      </c>
      <c r="V8">
        <v>205.1014099121094</v>
      </c>
      <c r="W8">
        <v>204.8029937744141</v>
      </c>
      <c r="X8">
        <v>201.4806365966797</v>
      </c>
      <c r="Y8">
        <v>204.4349517822266</v>
      </c>
      <c r="Z8">
        <v>202.8334503173828</v>
      </c>
      <c r="AA8">
        <v>214.3821563720703</v>
      </c>
      <c r="AB8">
        <v>223.1754760742188</v>
      </c>
      <c r="AC8">
        <v>224.3890380859375</v>
      </c>
      <c r="AD8">
        <v>231.3819274902344</v>
      </c>
      <c r="AE8">
        <v>232.3766479492188</v>
      </c>
      <c r="AF8">
        <v>239.2800140380859</v>
      </c>
      <c r="AG8">
        <v>243.4900054931641</v>
      </c>
      <c r="AH8">
        <v>242.2899932861328</v>
      </c>
      <c r="AI8">
        <v>240</v>
      </c>
      <c r="AJ8">
        <v>242.8699951171875</v>
      </c>
      <c r="AK8">
        <v>241.9600067138672</v>
      </c>
      <c r="AL8">
        <v>236.8999938964844</v>
      </c>
      <c r="AM8">
        <v>242.2299957275391</v>
      </c>
      <c r="AN8">
        <v>239.8099975585938</v>
      </c>
      <c r="AO8">
        <v>244.0099945068359</v>
      </c>
      <c r="AP8">
        <v>246.5800018310547</v>
      </c>
      <c r="AQ8">
        <v>252.0200042724609</v>
      </c>
      <c r="AR8">
        <v>256.0899963378906</v>
      </c>
      <c r="AS8">
        <v>254.6600036621094</v>
      </c>
      <c r="AT8">
        <v>255.0899963378906</v>
      </c>
      <c r="AU8">
        <v>259.1400146484375</v>
      </c>
      <c r="AV8">
        <v>260.7799987792969</v>
      </c>
      <c r="AW8">
        <v>258.510009765625</v>
      </c>
      <c r="AX8">
        <v>259.4700012207031</v>
      </c>
      <c r="AY8">
        <v>257.0599975585938</v>
      </c>
      <c r="AZ8">
        <v>264.9299926757812</v>
      </c>
      <c r="BA8">
        <v>264.6300048828125</v>
      </c>
      <c r="BB8">
        <v>274.2099914550781</v>
      </c>
      <c r="BC8">
        <v>273.1300048828125</v>
      </c>
      <c r="BD8">
        <v>261.75</v>
      </c>
      <c r="BE8">
        <v>256.7799987792969</v>
      </c>
      <c r="BF8">
        <v>256.4800109863281</v>
      </c>
      <c r="BG8">
        <v>255.8699951171875</v>
      </c>
      <c r="BH8">
        <v>255.75</v>
      </c>
      <c r="BI8">
        <v>253.2799987792969</v>
      </c>
    </row>
    <row r="9" spans="1:61">
      <c r="A9" t="s">
        <v>8</v>
      </c>
      <c r="B9">
        <v>32.23313140869141</v>
      </c>
      <c r="C9">
        <v>33.76237106323242</v>
      </c>
      <c r="D9">
        <v>34.81496429443359</v>
      </c>
      <c r="E9">
        <v>33.05733489990234</v>
      </c>
      <c r="F9">
        <v>33.20628356933594</v>
      </c>
      <c r="G9">
        <v>34.42768478393555</v>
      </c>
      <c r="H9">
        <v>34.28866577148438</v>
      </c>
      <c r="I9">
        <v>34.03048324584961</v>
      </c>
      <c r="J9">
        <v>34.04041290283203</v>
      </c>
      <c r="K9">
        <v>34.97384262084961</v>
      </c>
      <c r="L9">
        <v>34.59650039672852</v>
      </c>
      <c r="M9">
        <v>35.52000045776367</v>
      </c>
      <c r="N9">
        <v>36.18000030517578</v>
      </c>
      <c r="O9">
        <v>36.41999816894531</v>
      </c>
      <c r="P9">
        <v>36.15000152587891</v>
      </c>
      <c r="Q9">
        <v>34.7400016784668</v>
      </c>
      <c r="R9">
        <v>34.93000030517578</v>
      </c>
      <c r="S9">
        <v>36.70000076293945</v>
      </c>
      <c r="T9">
        <v>36.33000183105469</v>
      </c>
      <c r="U9">
        <v>37.31999969482422</v>
      </c>
      <c r="V9">
        <v>36.86999893188477</v>
      </c>
      <c r="W9">
        <v>35.79999923706055</v>
      </c>
      <c r="X9">
        <v>34.65999984741211</v>
      </c>
      <c r="Y9">
        <v>36.52999877929688</v>
      </c>
      <c r="Z9">
        <v>37.63000106811523</v>
      </c>
      <c r="AA9">
        <v>41.02000045776367</v>
      </c>
      <c r="AB9">
        <v>40.61999893188477</v>
      </c>
      <c r="AC9">
        <v>39.97000122070312</v>
      </c>
      <c r="AD9">
        <v>40</v>
      </c>
      <c r="AE9">
        <v>40.47000122070312</v>
      </c>
      <c r="AF9">
        <v>41.58000183105469</v>
      </c>
      <c r="AG9">
        <v>42.36999893188477</v>
      </c>
      <c r="AH9">
        <v>43.45000076293945</v>
      </c>
      <c r="AI9">
        <v>44.38999938964844</v>
      </c>
      <c r="AJ9">
        <v>43.38999938964844</v>
      </c>
      <c r="AK9">
        <v>42.95999908447266</v>
      </c>
      <c r="AL9">
        <v>41.34999847412109</v>
      </c>
      <c r="AM9">
        <v>41.18999862670898</v>
      </c>
      <c r="AN9">
        <v>42.38000106811523</v>
      </c>
      <c r="AO9">
        <v>42.54000091552734</v>
      </c>
      <c r="AP9">
        <v>43.15000152587891</v>
      </c>
      <c r="AQ9">
        <v>44.29999923706055</v>
      </c>
      <c r="AR9">
        <v>44.70000076293945</v>
      </c>
      <c r="AS9">
        <v>44.18000030517578</v>
      </c>
      <c r="AT9">
        <v>42.77000045776367</v>
      </c>
      <c r="AU9">
        <v>43.54999923706055</v>
      </c>
      <c r="AV9">
        <v>44.84000015258789</v>
      </c>
      <c r="AW9">
        <v>44.52999877929688</v>
      </c>
      <c r="AX9">
        <v>44.72999954223633</v>
      </c>
      <c r="AY9">
        <v>45.02999877929688</v>
      </c>
      <c r="AZ9">
        <v>47.40999984741211</v>
      </c>
      <c r="BA9">
        <v>44.79000091552734</v>
      </c>
      <c r="BB9">
        <v>45.45999908447266</v>
      </c>
      <c r="BC9">
        <v>44.86999893188477</v>
      </c>
      <c r="BD9">
        <v>43.81000137329102</v>
      </c>
      <c r="BE9">
        <v>42.29999923706055</v>
      </c>
      <c r="BF9">
        <v>43.70000076293945</v>
      </c>
      <c r="BG9">
        <v>43.68000030517578</v>
      </c>
      <c r="BH9">
        <v>42.7400016784668</v>
      </c>
      <c r="BI9">
        <v>42.33000183105469</v>
      </c>
    </row>
    <row r="10" spans="1:61">
      <c r="A10" t="s">
        <v>9</v>
      </c>
      <c r="B10">
        <v>195.3314361572266</v>
      </c>
      <c r="C10">
        <v>196.7098846435547</v>
      </c>
      <c r="D10">
        <v>203.891845703125</v>
      </c>
      <c r="E10">
        <v>202.5533447265625</v>
      </c>
      <c r="F10">
        <v>210.7242126464844</v>
      </c>
      <c r="G10">
        <v>203.3025054931641</v>
      </c>
      <c r="H10">
        <v>211.5632781982422</v>
      </c>
      <c r="I10">
        <v>212.2624816894531</v>
      </c>
      <c r="J10">
        <v>207.1681823730469</v>
      </c>
      <c r="K10">
        <v>202.5833129882812</v>
      </c>
      <c r="L10">
        <v>203.0527954101562</v>
      </c>
      <c r="M10">
        <v>207.0583038330078</v>
      </c>
      <c r="N10">
        <v>211.8229827880859</v>
      </c>
      <c r="O10">
        <v>208.5266571044922</v>
      </c>
      <c r="P10">
        <v>206.6088104248047</v>
      </c>
      <c r="Q10">
        <v>196.2903594970703</v>
      </c>
      <c r="R10">
        <v>196.789794921875</v>
      </c>
      <c r="S10">
        <v>189.7976226806641</v>
      </c>
      <c r="T10">
        <v>194.8219909667969</v>
      </c>
      <c r="U10">
        <v>200.5256195068359</v>
      </c>
      <c r="V10">
        <v>206.4090423583984</v>
      </c>
      <c r="W10">
        <v>211.7031097412109</v>
      </c>
      <c r="X10">
        <v>218.9749755859375</v>
      </c>
      <c r="Y10">
        <v>218.7452392578125</v>
      </c>
      <c r="Z10">
        <v>223.7096862792969</v>
      </c>
      <c r="AA10">
        <v>217.3068389892578</v>
      </c>
      <c r="AB10">
        <v>217.2568969726562</v>
      </c>
      <c r="AC10">
        <v>223.8395233154297</v>
      </c>
      <c r="AD10">
        <v>225.0481872558594</v>
      </c>
      <c r="AE10">
        <v>224.9083404541016</v>
      </c>
      <c r="AF10">
        <v>224.7584991455078</v>
      </c>
      <c r="AG10">
        <v>219.4944000244141</v>
      </c>
      <c r="AH10">
        <v>217.3168334960938</v>
      </c>
      <c r="AI10">
        <v>216.6076354980469</v>
      </c>
      <c r="AJ10">
        <v>214.4800109863281</v>
      </c>
      <c r="AK10">
        <v>208.2469787597656</v>
      </c>
      <c r="AL10">
        <v>212.8118743896484</v>
      </c>
      <c r="AM10">
        <v>209.4256591796875</v>
      </c>
      <c r="AN10">
        <v>227.7251739501953</v>
      </c>
      <c r="AO10">
        <v>217.3068389892578</v>
      </c>
      <c r="AP10">
        <v>220.5332336425781</v>
      </c>
      <c r="AQ10">
        <v>217.1969757080078</v>
      </c>
      <c r="AR10">
        <v>224.1591796875</v>
      </c>
      <c r="AS10">
        <v>228.1946563720703</v>
      </c>
      <c r="AT10">
        <v>230.1025238037109</v>
      </c>
      <c r="AU10">
        <v>225.4776916503906</v>
      </c>
      <c r="AV10">
        <v>223.4199981689453</v>
      </c>
      <c r="AW10">
        <v>218.3600006103516</v>
      </c>
      <c r="AX10">
        <v>218.2899932861328</v>
      </c>
      <c r="AY10">
        <v>210.9600067138672</v>
      </c>
      <c r="AZ10">
        <v>212.1699981689453</v>
      </c>
      <c r="BA10">
        <v>213.8999938964844</v>
      </c>
      <c r="BB10">
        <v>219.3399963378906</v>
      </c>
      <c r="BC10">
        <v>222.2700042724609</v>
      </c>
      <c r="BD10">
        <v>227.3800048828125</v>
      </c>
      <c r="BE10">
        <v>228.8699951171875</v>
      </c>
      <c r="BF10">
        <v>225.5099945068359</v>
      </c>
      <c r="BG10">
        <v>224.5800018310547</v>
      </c>
      <c r="BH10">
        <v>225.0700073242188</v>
      </c>
      <c r="BI10">
        <v>229.6450042724609</v>
      </c>
    </row>
    <row r="11" spans="1:61">
      <c r="A11" t="s">
        <v>10</v>
      </c>
      <c r="B11">
        <v>338.0143432617188</v>
      </c>
      <c r="C11">
        <v>342.5588073730469</v>
      </c>
      <c r="D11">
        <v>336.7885131835938</v>
      </c>
      <c r="E11">
        <v>336.3301086425781</v>
      </c>
      <c r="F11">
        <v>337.7651977539062</v>
      </c>
      <c r="G11">
        <v>340.3463745117188</v>
      </c>
      <c r="H11">
        <v>335.6822814941406</v>
      </c>
      <c r="I11">
        <v>328.0683288574219</v>
      </c>
      <c r="J11">
        <v>336.6689453125</v>
      </c>
      <c r="K11">
        <v>367.7227783203125</v>
      </c>
      <c r="L11">
        <v>367.244384765625</v>
      </c>
      <c r="M11">
        <v>368.3705444335938</v>
      </c>
      <c r="N11">
        <v>370.8121643066406</v>
      </c>
      <c r="O11">
        <v>375.0875549316406</v>
      </c>
      <c r="P11">
        <v>385.9404907226562</v>
      </c>
      <c r="Q11">
        <v>389.0199584960938</v>
      </c>
      <c r="R11">
        <v>395.8665161132812</v>
      </c>
      <c r="S11">
        <v>387.6845092773438</v>
      </c>
      <c r="T11">
        <v>374.7088623046875</v>
      </c>
      <c r="U11">
        <v>373.0844116210938</v>
      </c>
      <c r="V11">
        <v>372.5462646484375</v>
      </c>
      <c r="W11">
        <v>375.8648986816406</v>
      </c>
      <c r="X11">
        <v>381.1468811035156</v>
      </c>
      <c r="Y11">
        <v>384.6847534179688</v>
      </c>
      <c r="Z11">
        <v>383.0005187988281</v>
      </c>
      <c r="AA11">
        <v>374.3401184082031</v>
      </c>
      <c r="AB11">
        <v>374.3301391601562</v>
      </c>
      <c r="AC11">
        <v>368.8987426757812</v>
      </c>
      <c r="AD11">
        <v>368.7392883300781</v>
      </c>
      <c r="AE11">
        <v>369.0980224609375</v>
      </c>
      <c r="AF11">
        <v>363.2680053710938</v>
      </c>
      <c r="AG11">
        <v>366.6763305664062</v>
      </c>
      <c r="AH11">
        <v>360.9857788085938</v>
      </c>
      <c r="AI11">
        <v>363.248046875</v>
      </c>
      <c r="AJ11">
        <v>362.3411254882812</v>
      </c>
      <c r="AK11">
        <v>369.2873840332031</v>
      </c>
      <c r="AL11">
        <v>368.4004516601562</v>
      </c>
      <c r="AM11">
        <v>369.8853454589844</v>
      </c>
      <c r="AN11">
        <v>368.071533203125</v>
      </c>
      <c r="AO11">
        <v>368.6396179199219</v>
      </c>
      <c r="AP11">
        <v>364.6831359863281</v>
      </c>
      <c r="AQ11">
        <v>362.6799926757812</v>
      </c>
      <c r="AR11">
        <v>364.9322814941406</v>
      </c>
      <c r="AS11">
        <v>373.0644836425781</v>
      </c>
      <c r="AT11">
        <v>368.0914916992188</v>
      </c>
      <c r="AU11">
        <v>364.4140625</v>
      </c>
      <c r="AV11">
        <v>365.6000061035156</v>
      </c>
      <c r="AW11">
        <v>367.5599975585938</v>
      </c>
      <c r="AX11">
        <v>375.2000122070312</v>
      </c>
      <c r="AY11">
        <v>378.0499877929688</v>
      </c>
      <c r="AZ11">
        <v>377.9700012207031</v>
      </c>
      <c r="BA11">
        <v>378.9200134277344</v>
      </c>
      <c r="BB11">
        <v>379.489990234375</v>
      </c>
      <c r="BC11">
        <v>374.6199951171875</v>
      </c>
      <c r="BD11">
        <v>371.1300048828125</v>
      </c>
      <c r="BE11">
        <v>362.010009765625</v>
      </c>
      <c r="BF11">
        <v>360.3900146484375</v>
      </c>
      <c r="BG11">
        <v>362.3900146484375</v>
      </c>
      <c r="BH11">
        <v>363.0400085449219</v>
      </c>
      <c r="BI11">
        <v>363.1650085449219</v>
      </c>
    </row>
    <row r="12" spans="1:61">
      <c r="A12" t="s">
        <v>11</v>
      </c>
      <c r="B12">
        <v>364.6632385253906</v>
      </c>
      <c r="C12">
        <v>363.3840942382812</v>
      </c>
      <c r="D12">
        <v>358.4772644042969</v>
      </c>
      <c r="E12">
        <v>356.0088500976562</v>
      </c>
      <c r="F12">
        <v>354.7996520996094</v>
      </c>
      <c r="G12">
        <v>350.4425048828125</v>
      </c>
      <c r="H12">
        <v>357.09814453125</v>
      </c>
      <c r="I12">
        <v>369.9697875976562</v>
      </c>
      <c r="J12">
        <v>353.5804443359375</v>
      </c>
      <c r="K12">
        <v>345.8954467773438</v>
      </c>
      <c r="L12">
        <v>351.1420288085938</v>
      </c>
      <c r="M12">
        <v>345.9653930664062</v>
      </c>
      <c r="N12">
        <v>341.6881713867188</v>
      </c>
      <c r="O12">
        <v>318.1334533691406</v>
      </c>
      <c r="P12">
        <v>318.8829650878906</v>
      </c>
      <c r="Q12">
        <v>326.3581237792969</v>
      </c>
      <c r="R12">
        <v>332.3842163085938</v>
      </c>
      <c r="S12">
        <v>335.5421752929688</v>
      </c>
      <c r="T12">
        <v>333.4635009765625</v>
      </c>
      <c r="U12">
        <v>356.4186096191406</v>
      </c>
      <c r="V12">
        <v>372.2283325195312</v>
      </c>
      <c r="W12">
        <v>375.1064758300781</v>
      </c>
      <c r="X12">
        <v>359.8963623046875</v>
      </c>
      <c r="Y12">
        <v>356.3886108398438</v>
      </c>
      <c r="Z12">
        <v>353.2406616210938</v>
      </c>
      <c r="AA12">
        <v>355.609130859375</v>
      </c>
      <c r="AB12">
        <v>342.7774658203125</v>
      </c>
      <c r="AC12">
        <v>342.1478576660156</v>
      </c>
      <c r="AD12">
        <v>343.7168579101562</v>
      </c>
      <c r="AE12">
        <v>343.3171081542969</v>
      </c>
      <c r="AF12">
        <v>341.2284851074219</v>
      </c>
      <c r="AG12">
        <v>341.0585632324219</v>
      </c>
      <c r="AH12">
        <v>341.4783325195312</v>
      </c>
      <c r="AI12">
        <v>337.9805908203125</v>
      </c>
      <c r="AJ12">
        <v>341.5282592773438</v>
      </c>
      <c r="AK12">
        <v>344.3664245605469</v>
      </c>
      <c r="AL12">
        <v>343.1172485351562</v>
      </c>
      <c r="AM12">
        <v>338.8800048828125</v>
      </c>
      <c r="AN12">
        <v>337.4908752441406</v>
      </c>
      <c r="AO12">
        <v>342.6575317382812</v>
      </c>
      <c r="AP12">
        <v>335.1923828125</v>
      </c>
      <c r="AQ12">
        <v>331.8145751953125</v>
      </c>
      <c r="AR12">
        <v>333.5634460449219</v>
      </c>
      <c r="AS12">
        <v>338.8599853515625</v>
      </c>
      <c r="AT12">
        <v>335.3099975585938</v>
      </c>
      <c r="AU12">
        <v>335.3800048828125</v>
      </c>
      <c r="AV12">
        <v>328.3800048828125</v>
      </c>
      <c r="AW12">
        <v>330.3900146484375</v>
      </c>
      <c r="AX12">
        <v>335.4500122070312</v>
      </c>
      <c r="AY12">
        <v>345.7099914550781</v>
      </c>
      <c r="AZ12">
        <v>341.4299926757812</v>
      </c>
      <c r="BA12">
        <v>339.3599853515625</v>
      </c>
      <c r="BB12">
        <v>343.6799926757812</v>
      </c>
      <c r="BC12">
        <v>344.4100036621094</v>
      </c>
      <c r="BD12">
        <v>350.8699951171875</v>
      </c>
      <c r="BE12">
        <v>347.4100036621094</v>
      </c>
      <c r="BF12">
        <v>334.9800109863281</v>
      </c>
      <c r="BG12">
        <v>339.010009765625</v>
      </c>
      <c r="BH12">
        <v>341.0799865722656</v>
      </c>
      <c r="BI12">
        <v>338.3099975585938</v>
      </c>
    </row>
    <row r="13" spans="1:61">
      <c r="A13" t="s">
        <v>12</v>
      </c>
      <c r="B13">
        <v>66.05000305175781</v>
      </c>
      <c r="C13">
        <v>66.12000274658203</v>
      </c>
      <c r="D13">
        <v>67.08999633789062</v>
      </c>
      <c r="E13">
        <v>67.59999847412109</v>
      </c>
      <c r="F13">
        <v>67.34999847412109</v>
      </c>
      <c r="G13">
        <v>68.29000091552734</v>
      </c>
      <c r="H13">
        <v>68.72000122070312</v>
      </c>
      <c r="I13">
        <v>66.61000061035156</v>
      </c>
      <c r="J13">
        <v>63.88999938964844</v>
      </c>
      <c r="K13">
        <v>66.44000244140625</v>
      </c>
      <c r="L13">
        <v>65.83999633789062</v>
      </c>
      <c r="M13">
        <v>67.58999633789062</v>
      </c>
      <c r="N13">
        <v>65.88999938964844</v>
      </c>
      <c r="O13">
        <v>63.7400016784668</v>
      </c>
      <c r="P13">
        <v>63.40999984741211</v>
      </c>
      <c r="Q13">
        <v>64.08000183105469</v>
      </c>
      <c r="R13">
        <v>63.90999984741211</v>
      </c>
      <c r="S13">
        <v>61.81999969482422</v>
      </c>
      <c r="T13">
        <v>60.84000015258789</v>
      </c>
      <c r="U13">
        <v>62.22000122070312</v>
      </c>
      <c r="V13">
        <v>63.7599983215332</v>
      </c>
      <c r="W13">
        <v>64.06999969482422</v>
      </c>
      <c r="X13">
        <v>66.98999786376953</v>
      </c>
      <c r="Y13">
        <v>64.19999694824219</v>
      </c>
      <c r="Z13">
        <v>65.76999664306641</v>
      </c>
      <c r="AA13">
        <v>66.56999969482422</v>
      </c>
      <c r="AB13">
        <v>64.87999725341797</v>
      </c>
      <c r="AC13">
        <v>67.06999969482422</v>
      </c>
      <c r="AD13">
        <v>66.04000091552734</v>
      </c>
      <c r="AE13">
        <v>67.47000122070312</v>
      </c>
      <c r="AF13">
        <v>64.41000366210938</v>
      </c>
      <c r="AG13">
        <v>65.22000122070312</v>
      </c>
      <c r="AH13">
        <v>64.69999694824219</v>
      </c>
      <c r="AI13">
        <v>64.13999938964844</v>
      </c>
      <c r="AJ13">
        <v>65.01999664306641</v>
      </c>
      <c r="AK13">
        <v>65.65000152587891</v>
      </c>
      <c r="AL13">
        <v>65</v>
      </c>
      <c r="AM13">
        <v>65.47000122070312</v>
      </c>
      <c r="AN13">
        <v>65.33000183105469</v>
      </c>
      <c r="AO13">
        <v>64.75</v>
      </c>
      <c r="AP13">
        <v>64.33999633789062</v>
      </c>
      <c r="AQ13">
        <v>65.23000335693359</v>
      </c>
      <c r="AR13">
        <v>67.33999633789062</v>
      </c>
      <c r="AS13">
        <v>68.01999664306641</v>
      </c>
      <c r="AT13">
        <v>67.04000091552734</v>
      </c>
      <c r="AU13">
        <v>64.58000183105469</v>
      </c>
      <c r="AV13">
        <v>64.05999755859375</v>
      </c>
      <c r="AW13">
        <v>65.40000152587891</v>
      </c>
      <c r="AX13">
        <v>66.41999816894531</v>
      </c>
      <c r="AY13">
        <v>69.41000366210938</v>
      </c>
      <c r="AZ13">
        <v>67.66000366210938</v>
      </c>
      <c r="BA13">
        <v>66.01000213623047</v>
      </c>
      <c r="BB13">
        <v>67.09999847412109</v>
      </c>
      <c r="BC13">
        <v>65.11000061035156</v>
      </c>
      <c r="BD13">
        <v>64.98999786376953</v>
      </c>
      <c r="BE13">
        <v>63.29999923706055</v>
      </c>
      <c r="BF13">
        <v>62.08000183105469</v>
      </c>
      <c r="BG13">
        <v>61.91999816894531</v>
      </c>
      <c r="BH13">
        <v>61.81999969482422</v>
      </c>
      <c r="BI13">
        <v>62.27830123901367</v>
      </c>
    </row>
    <row r="14" spans="1:61">
      <c r="A14" t="s">
        <v>13</v>
      </c>
      <c r="B14">
        <v>366.2245788574219</v>
      </c>
      <c r="C14">
        <v>366.7942199707031</v>
      </c>
      <c r="D14">
        <v>361.6875305175781</v>
      </c>
      <c r="E14">
        <v>358.6594848632812</v>
      </c>
      <c r="F14">
        <v>356.9505615234375</v>
      </c>
      <c r="G14">
        <v>352.2835693359375</v>
      </c>
      <c r="H14">
        <v>359.2790832519531</v>
      </c>
      <c r="I14">
        <v>370.6817626953125</v>
      </c>
      <c r="J14">
        <v>354.2322998046875</v>
      </c>
      <c r="K14">
        <v>346.5472412109375</v>
      </c>
      <c r="L14">
        <v>351.7638854980469</v>
      </c>
      <c r="M14">
        <v>346.927001953125</v>
      </c>
      <c r="N14">
        <v>341.8702392578125</v>
      </c>
      <c r="O14">
        <v>317.4859313964844</v>
      </c>
      <c r="P14">
        <v>319.5346069335938</v>
      </c>
      <c r="Q14">
        <v>326.3502197265625</v>
      </c>
      <c r="R14">
        <v>333.4956359863281</v>
      </c>
      <c r="S14">
        <v>336.4937133789062</v>
      </c>
      <c r="T14">
        <v>333.4456787109375</v>
      </c>
      <c r="U14">
        <v>355.9012451171875</v>
      </c>
      <c r="V14">
        <v>373.2700805664062</v>
      </c>
      <c r="W14">
        <v>377.4074096679688</v>
      </c>
      <c r="X14">
        <v>362.1971740722656</v>
      </c>
      <c r="Y14">
        <v>357.5202026367188</v>
      </c>
      <c r="Z14">
        <v>354.0723876953125</v>
      </c>
      <c r="AA14">
        <v>357.2903442382812</v>
      </c>
      <c r="AB14">
        <v>343.5791320800781</v>
      </c>
      <c r="AC14">
        <v>343.3193359375</v>
      </c>
      <c r="AD14">
        <v>346.1375122070312</v>
      </c>
      <c r="AE14">
        <v>345.6777954101562</v>
      </c>
      <c r="AF14">
        <v>343.7790222167969</v>
      </c>
      <c r="AG14">
        <v>343.9789123535156</v>
      </c>
      <c r="AH14">
        <v>344.4985656738281</v>
      </c>
      <c r="AI14">
        <v>340.451171875</v>
      </c>
      <c r="AJ14">
        <v>344.5985107421875</v>
      </c>
      <c r="AK14">
        <v>347.83642578125</v>
      </c>
      <c r="AL14">
        <v>346.7371215820312</v>
      </c>
      <c r="AM14">
        <v>341.7803039550781</v>
      </c>
      <c r="AN14">
        <v>340.4311828613281</v>
      </c>
      <c r="AO14">
        <v>346.3673706054688</v>
      </c>
      <c r="AP14">
        <v>339.1320190429688</v>
      </c>
      <c r="AQ14">
        <v>334.8047790527344</v>
      </c>
      <c r="AR14">
        <v>336.9034423828125</v>
      </c>
      <c r="AS14">
        <v>342.260009765625</v>
      </c>
      <c r="AT14">
        <v>338.4599914550781</v>
      </c>
      <c r="AU14">
        <v>338.3599853515625</v>
      </c>
      <c r="AV14">
        <v>330.6499938964844</v>
      </c>
      <c r="AW14">
        <v>332.6000061035156</v>
      </c>
      <c r="AX14">
        <v>338.5</v>
      </c>
      <c r="AY14">
        <v>349.3900146484375</v>
      </c>
      <c r="AZ14">
        <v>344.9800109863281</v>
      </c>
      <c r="BA14">
        <v>342.8699951171875</v>
      </c>
      <c r="BB14">
        <v>347.3299865722656</v>
      </c>
      <c r="BC14">
        <v>349.5400085449219</v>
      </c>
      <c r="BD14">
        <v>354.9700012207031</v>
      </c>
      <c r="BE14">
        <v>351.1600036621094</v>
      </c>
      <c r="BF14">
        <v>337.8299865722656</v>
      </c>
      <c r="BG14">
        <v>342.3599853515625</v>
      </c>
      <c r="BH14">
        <v>343.9200134277344</v>
      </c>
      <c r="BI14">
        <v>341.5299987792969</v>
      </c>
    </row>
    <row r="15" spans="1:61">
      <c r="A15" t="s">
        <v>14</v>
      </c>
      <c r="B15">
        <v>247.3405914306641</v>
      </c>
      <c r="C15">
        <v>250.4178009033203</v>
      </c>
      <c r="D15">
        <v>250.1289978027344</v>
      </c>
      <c r="E15">
        <v>247.6094818115234</v>
      </c>
      <c r="F15">
        <v>250.5671691894531</v>
      </c>
      <c r="G15">
        <v>255.3871307373047</v>
      </c>
      <c r="H15">
        <v>249.3124084472656</v>
      </c>
      <c r="I15">
        <v>238.4874420166016</v>
      </c>
      <c r="J15">
        <v>240.8575897216797</v>
      </c>
      <c r="K15">
        <v>248.8642578125</v>
      </c>
      <c r="L15">
        <v>252.6783905029297</v>
      </c>
      <c r="M15">
        <v>250.6966400146484</v>
      </c>
      <c r="N15">
        <v>250.7862701416016</v>
      </c>
      <c r="O15">
        <v>253.4651184082031</v>
      </c>
      <c r="P15">
        <v>258.8925170898438</v>
      </c>
      <c r="Q15">
        <v>260.1871337890625</v>
      </c>
      <c r="R15">
        <v>271.2909240722656</v>
      </c>
      <c r="S15">
        <v>273.2527770996094</v>
      </c>
      <c r="T15">
        <v>264.2801208496094</v>
      </c>
      <c r="U15">
        <v>262.9854736328125</v>
      </c>
      <c r="V15">
        <v>261.5912780761719</v>
      </c>
      <c r="W15">
        <v>261.4718017578125</v>
      </c>
      <c r="X15">
        <v>263.4933776855469</v>
      </c>
      <c r="Y15">
        <v>273.9697570800781</v>
      </c>
      <c r="Z15">
        <v>265.8934020996094</v>
      </c>
      <c r="AA15">
        <v>268.5523376464844</v>
      </c>
      <c r="AB15">
        <v>261.1431579589844</v>
      </c>
      <c r="AC15">
        <v>254.7796325683594</v>
      </c>
      <c r="AD15">
        <v>259.4004211425781</v>
      </c>
      <c r="AE15">
        <v>260.3265686035156</v>
      </c>
      <c r="AF15">
        <v>257.0302734375</v>
      </c>
      <c r="AG15">
        <v>260.067626953125</v>
      </c>
      <c r="AH15">
        <v>258.6634826660156</v>
      </c>
      <c r="AI15">
        <v>253.4850311279297</v>
      </c>
      <c r="AJ15">
        <v>252.7779693603516</v>
      </c>
      <c r="AK15">
        <v>259.1116027832031</v>
      </c>
      <c r="AL15">
        <v>256.55224609375</v>
      </c>
      <c r="AM15">
        <v>260.7248840332031</v>
      </c>
      <c r="AN15">
        <v>256.55224609375</v>
      </c>
      <c r="AO15">
        <v>259.4999694824219</v>
      </c>
      <c r="AP15">
        <v>257.7999877929688</v>
      </c>
      <c r="AQ15">
        <v>257.8699951171875</v>
      </c>
      <c r="AR15">
        <v>259.3399963378906</v>
      </c>
      <c r="AS15">
        <v>263.1099853515625</v>
      </c>
      <c r="AT15">
        <v>259.5700073242188</v>
      </c>
      <c r="AU15">
        <v>253.4600067138672</v>
      </c>
      <c r="AV15">
        <v>253.5800018310547</v>
      </c>
      <c r="AW15">
        <v>251.7899932861328</v>
      </c>
      <c r="AX15">
        <v>253.7100067138672</v>
      </c>
      <c r="AY15">
        <v>258.4800109863281</v>
      </c>
      <c r="AZ15">
        <v>257.2099914550781</v>
      </c>
      <c r="BA15">
        <v>254.8500061035156</v>
      </c>
      <c r="BB15">
        <v>252.2100067138672</v>
      </c>
      <c r="BC15">
        <v>249.8300018310547</v>
      </c>
      <c r="BD15">
        <v>242.8600006103516</v>
      </c>
      <c r="BE15">
        <v>229.5</v>
      </c>
      <c r="BF15">
        <v>225.6600036621094</v>
      </c>
      <c r="BG15">
        <v>227.1699981689453</v>
      </c>
      <c r="BH15">
        <v>227.6000061035156</v>
      </c>
      <c r="BI15">
        <v>227.5449981689453</v>
      </c>
    </row>
    <row r="16" spans="1:61">
      <c r="A16" t="s">
        <v>15</v>
      </c>
      <c r="B16">
        <v>125.1394882202148</v>
      </c>
      <c r="C16">
        <v>126.5784454345703</v>
      </c>
      <c r="D16">
        <v>131.4113464355469</v>
      </c>
      <c r="E16">
        <v>131.2624969482422</v>
      </c>
      <c r="F16">
        <v>134.1106262207031</v>
      </c>
      <c r="G16">
        <v>133.7434539794922</v>
      </c>
      <c r="H16">
        <v>132.9793090820312</v>
      </c>
      <c r="I16">
        <v>137.2366333007812</v>
      </c>
      <c r="J16">
        <v>139.1420135498047</v>
      </c>
      <c r="K16">
        <v>138.5366668701172</v>
      </c>
      <c r="L16">
        <v>138.5267333984375</v>
      </c>
      <c r="M16">
        <v>137.4251861572266</v>
      </c>
      <c r="N16">
        <v>136.8694610595703</v>
      </c>
      <c r="O16">
        <v>133.4556579589844</v>
      </c>
      <c r="P16">
        <v>135.7381439208984</v>
      </c>
      <c r="Q16">
        <v>139.2710113525391</v>
      </c>
      <c r="R16">
        <v>143.1016235351562</v>
      </c>
      <c r="S16">
        <v>144.7886657714844</v>
      </c>
      <c r="T16">
        <v>143.4092559814453</v>
      </c>
      <c r="U16">
        <v>143.3894195556641</v>
      </c>
      <c r="V16">
        <v>148.21240234375</v>
      </c>
      <c r="W16">
        <v>146.9818420410156</v>
      </c>
      <c r="X16">
        <v>146.574951171875</v>
      </c>
      <c r="Y16">
        <v>145.9596862792969</v>
      </c>
      <c r="Z16">
        <v>148.5597229003906</v>
      </c>
      <c r="AA16">
        <v>150.862060546875</v>
      </c>
      <c r="AB16">
        <v>151.1299896240234</v>
      </c>
      <c r="AC16">
        <v>154</v>
      </c>
      <c r="AD16">
        <v>155.5099945068359</v>
      </c>
      <c r="AE16">
        <v>154.4799957275391</v>
      </c>
      <c r="AF16">
        <v>151.0099945068359</v>
      </c>
      <c r="AG16">
        <v>152.4799957275391</v>
      </c>
      <c r="AH16">
        <v>159</v>
      </c>
      <c r="AI16">
        <v>158.25</v>
      </c>
      <c r="AJ16">
        <v>165.4400024414062</v>
      </c>
      <c r="AK16">
        <v>169.8899993896484</v>
      </c>
      <c r="AL16">
        <v>163.4700012207031</v>
      </c>
      <c r="AM16">
        <v>164.0399932861328</v>
      </c>
      <c r="AN16">
        <v>165.9299926757812</v>
      </c>
      <c r="AO16">
        <v>163.1799926757812</v>
      </c>
      <c r="AP16">
        <v>160.8800048828125</v>
      </c>
      <c r="AQ16">
        <v>163.75</v>
      </c>
      <c r="AR16">
        <v>163.3600006103516</v>
      </c>
      <c r="AS16">
        <v>164.0099945068359</v>
      </c>
      <c r="AT16">
        <v>164.4400024414062</v>
      </c>
      <c r="AU16">
        <v>162.7100067138672</v>
      </c>
      <c r="AV16">
        <v>157.5200042724609</v>
      </c>
      <c r="AW16">
        <v>155.7299957275391</v>
      </c>
      <c r="AX16">
        <v>155.8300018310547</v>
      </c>
      <c r="AY16">
        <v>158.6999969482422</v>
      </c>
      <c r="AZ16">
        <v>154.3999938964844</v>
      </c>
      <c r="BA16">
        <v>154.6799926757812</v>
      </c>
      <c r="BB16">
        <v>159.8300018310547</v>
      </c>
      <c r="BC16">
        <v>158.1900024414062</v>
      </c>
      <c r="BD16">
        <v>157.7100067138672</v>
      </c>
      <c r="BE16">
        <v>159.0200042724609</v>
      </c>
      <c r="BF16">
        <v>156.2599945068359</v>
      </c>
      <c r="BG16">
        <v>156.1499938964844</v>
      </c>
      <c r="BH16">
        <v>157.4499969482422</v>
      </c>
      <c r="BI16">
        <v>158.4299926757812</v>
      </c>
    </row>
    <row r="17" spans="1:61">
      <c r="A17" t="s">
        <v>16</v>
      </c>
      <c r="B17">
        <v>115.620002746582</v>
      </c>
      <c r="C17">
        <v>118.0500030517578</v>
      </c>
      <c r="D17">
        <v>117.2600021362305</v>
      </c>
      <c r="E17">
        <v>118.5199966430664</v>
      </c>
      <c r="F17">
        <v>116.7099990844727</v>
      </c>
      <c r="G17">
        <v>114.2300033569336</v>
      </c>
      <c r="H17">
        <v>114.879997253418</v>
      </c>
      <c r="I17">
        <v>115.0899963378906</v>
      </c>
      <c r="J17">
        <v>116.6500015258789</v>
      </c>
      <c r="K17">
        <v>117.25</v>
      </c>
      <c r="L17">
        <v>115.6500015258789</v>
      </c>
      <c r="M17">
        <v>117.3899993896484</v>
      </c>
      <c r="N17">
        <v>115.7900009155273</v>
      </c>
      <c r="O17">
        <v>116.6900024414062</v>
      </c>
      <c r="P17">
        <v>117.6699981689453</v>
      </c>
      <c r="Q17">
        <v>118.870002746582</v>
      </c>
      <c r="R17">
        <v>129.9299926757812</v>
      </c>
      <c r="S17">
        <v>127.0999984741211</v>
      </c>
      <c r="T17">
        <v>122.9899978637695</v>
      </c>
      <c r="U17">
        <v>119.5199966430664</v>
      </c>
      <c r="V17">
        <v>118.4300003051758</v>
      </c>
      <c r="W17">
        <v>120.5999984741211</v>
      </c>
      <c r="X17">
        <v>119.8000030517578</v>
      </c>
      <c r="Y17">
        <v>118.379997253418</v>
      </c>
      <c r="Z17">
        <v>120.5599975585938</v>
      </c>
      <c r="AA17">
        <v>121.5500030517578</v>
      </c>
      <c r="AB17">
        <v>121.0699996948242</v>
      </c>
      <c r="AC17">
        <v>120.7699966430664</v>
      </c>
      <c r="AD17">
        <v>120.5199966430664</v>
      </c>
      <c r="AE17">
        <v>120.1600036621094</v>
      </c>
      <c r="AF17">
        <v>123.5</v>
      </c>
      <c r="AG17">
        <v>123.4700012207031</v>
      </c>
      <c r="AH17">
        <v>128.4700012207031</v>
      </c>
      <c r="AI17">
        <v>127.2200012207031</v>
      </c>
      <c r="AJ17">
        <v>127.8099975585938</v>
      </c>
      <c r="AK17">
        <v>127.9800033569336</v>
      </c>
      <c r="AL17">
        <v>129.7200012207031</v>
      </c>
      <c r="AM17">
        <v>128.1199951171875</v>
      </c>
      <c r="AN17">
        <v>127.7399978637695</v>
      </c>
      <c r="AO17">
        <v>124.370002746582</v>
      </c>
      <c r="AP17">
        <v>123.2200012207031</v>
      </c>
      <c r="AQ17">
        <v>125.0100021362305</v>
      </c>
      <c r="AR17">
        <v>128.8300018310547</v>
      </c>
      <c r="AS17">
        <v>128</v>
      </c>
      <c r="AT17">
        <v>126.75</v>
      </c>
      <c r="AU17">
        <v>124.4000015258789</v>
      </c>
      <c r="AV17">
        <v>126.0100021362305</v>
      </c>
      <c r="AW17">
        <v>123.2799987792969</v>
      </c>
      <c r="AX17">
        <v>121.4700012207031</v>
      </c>
      <c r="AY17">
        <v>122.1900024414062</v>
      </c>
      <c r="AZ17">
        <v>121.7399978637695</v>
      </c>
      <c r="BA17">
        <v>124.75</v>
      </c>
      <c r="BB17">
        <v>127.620002746582</v>
      </c>
      <c r="BC17">
        <v>125.3099975585938</v>
      </c>
      <c r="BD17">
        <v>124.6500015258789</v>
      </c>
      <c r="BE17">
        <v>126.9300003051758</v>
      </c>
      <c r="BF17">
        <v>124.6399993896484</v>
      </c>
      <c r="BG17">
        <v>124.4400024414062</v>
      </c>
      <c r="BH17">
        <v>123.8899993896484</v>
      </c>
      <c r="BI17">
        <v>125.9800033569336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2026-09-28T19:27:50Z</dcterms:created>
  <dcterms:modified xsi:type="dcterms:W3CDTF">2026-09-28T19:27:50Z</dcterms:modified>
</cp:coreProperties>
</file>