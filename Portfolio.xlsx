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Позиции" sheetId="2" r:id="rId2"/>
    <sheet name="Сделки" sheetId="3" r:id="rId3"/>
    <sheet name="Капитал" sheetId="4" r:id="rId4"/>
    <sheet name="Скрин" sheetId="5" r:id="rId5"/>
    <sheet name="Факторы" sheetId="6" r:id="rId6"/>
    <sheet name="Инфо" sheetId="7" r:id="rId7"/>
    <sheet name="_данные" sheetId="8" state="hidden" r:id="rId8"/>
  </sheets>
  <definedNames>
    <definedName name="_xlnm._FilterDatabase" localSheetId="1" hidden="1">Позиции!$A$4:$Q$25</definedName>
    <definedName name="_xlnm._FilterDatabase" localSheetId="2" hidden="1">Сделки!$A$4:$O$6</definedName>
    <definedName name="_xlnm._FilterDatabase" localSheetId="4" hidden="1">Скрин!$A$4:$T$44</definedName>
  </definedNames>
  <calcPr calcId="124519" fullCalcOnLoad="1"/>
</workbook>
</file>

<file path=xl/sharedStrings.xml><?xml version="1.0" encoding="utf-8"?>
<sst xmlns="http://schemas.openxmlformats.org/spreadsheetml/2006/main" count="515" uniqueCount="264">
  <si>
    <t>SNDK</t>
  </si>
  <si>
    <t>WDC</t>
  </si>
  <si>
    <t>VLO</t>
  </si>
  <si>
    <t>MPC</t>
  </si>
  <si>
    <t>OXY</t>
  </si>
  <si>
    <t>PSX</t>
  </si>
  <si>
    <t>APA</t>
  </si>
  <si>
    <t>NVDA</t>
  </si>
  <si>
    <t>TRV</t>
  </si>
  <si>
    <t>GOOG</t>
  </si>
  <si>
    <t>CNC</t>
  </si>
  <si>
    <t>GOOGL</t>
  </si>
  <si>
    <t>ALL</t>
  </si>
  <si>
    <t>TGT</t>
  </si>
  <si>
    <t>INCY</t>
  </si>
  <si>
    <t>AMZN</t>
  </si>
  <si>
    <t>ILMN</t>
  </si>
  <si>
    <t>DLTR</t>
  </si>
  <si>
    <t>BIIB</t>
  </si>
  <si>
    <t>COF</t>
  </si>
  <si>
    <t>HPE</t>
  </si>
  <si>
    <t>Открытые позиции</t>
  </si>
  <si>
    <t>Позиции удерживаются, пока сохраняется инвестиционный сигнал; автоматического выхода по сроку нет. Размер распределяется по рейтингу: «Вес ×» — коэффициент целевого веса позиции; жёлтая колонка «Тек. цена» предназначена для ручного ввода.</t>
  </si>
  <si>
    <t>Тикер</t>
  </si>
  <si>
    <t>Компания</t>
  </si>
  <si>
    <t>Сектор</t>
  </si>
  <si>
    <t>Дата входа</t>
  </si>
  <si>
    <t>Цена входа</t>
  </si>
  <si>
    <t>Акций</t>
  </si>
  <si>
    <t>Вложено</t>
  </si>
  <si>
    <t>Тек. цена</t>
  </si>
  <si>
    <t>Стоимость</t>
  </si>
  <si>
    <t>P&amp;L $</t>
  </si>
  <si>
    <t>P&amp;L %</t>
  </si>
  <si>
    <t>Дней держим</t>
  </si>
  <si>
    <t>Выход</t>
  </si>
  <si>
    <t>Скор входа</t>
  </si>
  <si>
    <t>Проверка AV</t>
  </si>
  <si>
    <t>Динамика</t>
  </si>
  <si>
    <t>Вес ×</t>
  </si>
  <si>
    <t>Sandisk</t>
  </si>
  <si>
    <t>Information Technology</t>
  </si>
  <si>
    <t>2026-08-27</t>
  </si>
  <si>
    <t>Signal</t>
  </si>
  <si>
    <t>confirmed</t>
  </si>
  <si>
    <t>Western Digital</t>
  </si>
  <si>
    <t>2026-08-28</t>
  </si>
  <si>
    <t>Valero Energy</t>
  </si>
  <si>
    <t>Energy</t>
  </si>
  <si>
    <t>2026-08-31</t>
  </si>
  <si>
    <t>Marathon Petroleum</t>
  </si>
  <si>
    <t>2026-09-01</t>
  </si>
  <si>
    <t>Occidental Petroleum</t>
  </si>
  <si>
    <t>2026-09-04</t>
  </si>
  <si>
    <t>Phillips 66</t>
  </si>
  <si>
    <t>APA Corporation</t>
  </si>
  <si>
    <t>Nvidia</t>
  </si>
  <si>
    <t>2026-09-14</t>
  </si>
  <si>
    <t>Travelers Companies (The)</t>
  </si>
  <si>
    <t>Financials</t>
  </si>
  <si>
    <t>Alphabet Inc. (Class C)</t>
  </si>
  <si>
    <t>Communication Services</t>
  </si>
  <si>
    <t>Centene Corporation</t>
  </si>
  <si>
    <t>Health Care</t>
  </si>
  <si>
    <t>Alphabet Inc. (Class A)</t>
  </si>
  <si>
    <t>2026-09-28</t>
  </si>
  <si>
    <t>Allstate</t>
  </si>
  <si>
    <t>Target Corporation</t>
  </si>
  <si>
    <t>Consumer Staples</t>
  </si>
  <si>
    <t>Incyte</t>
  </si>
  <si>
    <t>Amazon</t>
  </si>
  <si>
    <t>Consumer Discretionary</t>
  </si>
  <si>
    <t>2026-10-01</t>
  </si>
  <si>
    <t>Illumina, Inc.</t>
  </si>
  <si>
    <t>Dollar Tree</t>
  </si>
  <si>
    <t>2026-10-05</t>
  </si>
  <si>
    <t>Biogen</t>
  </si>
  <si>
    <t>2026-10-06</t>
  </si>
  <si>
    <t>Capital One</t>
  </si>
  <si>
    <t>2026-10-09</t>
  </si>
  <si>
    <t>Hewlett Packard Enterprise</t>
  </si>
  <si>
    <t>2026-10-12</t>
  </si>
  <si>
    <t>Итого</t>
  </si>
  <si>
    <t>Закрытые сделки</t>
  </si>
  <si>
    <t>Полный журнал сделок. Выход инициируется правилами сигнала и исполняется по цене открытия следующей доступной сессии.</t>
  </si>
  <si>
    <t>#</t>
  </si>
  <si>
    <t>Вход</t>
  </si>
  <si>
    <t>Цена выхода</t>
  </si>
  <si>
    <t>Получено</t>
  </si>
  <si>
    <t>Дней</t>
  </si>
  <si>
    <t>Причина выхода</t>
  </si>
  <si>
    <t>MU</t>
  </si>
  <si>
    <t>2026-08-26</t>
  </si>
  <si>
    <t>hold period elapsed</t>
  </si>
  <si>
    <t>DELL</t>
  </si>
  <si>
    <t>2026-08-25</t>
  </si>
  <si>
    <t>2026-10-08</t>
  </si>
  <si>
    <t>Кривая капитала</t>
  </si>
  <si>
    <t>Портфель против бенчмарка (SPY), обе линии от одного стартового капитала.</t>
  </si>
  <si>
    <t>Дата</t>
  </si>
  <si>
    <t>Денежные средства</t>
  </si>
  <si>
    <t>Стоимость позиций</t>
  </si>
  <si>
    <t>Капитал</t>
  </si>
  <si>
    <t>Позиций</t>
  </si>
  <si>
    <t>Бенчмарк</t>
  </si>
  <si>
    <t>2026-08-24</t>
  </si>
  <si>
    <t>2026-09-02</t>
  </si>
  <si>
    <t>2026-09-03</t>
  </si>
  <si>
    <t>2026-09-08</t>
  </si>
  <si>
    <t>2026-09-10</t>
  </si>
  <si>
    <t>2026-09-11</t>
  </si>
  <si>
    <t>2026-09-16</t>
  </si>
  <si>
    <t>2026-09-17</t>
  </si>
  <si>
    <t>2026-09-18</t>
  </si>
  <si>
    <t>2026-09-29</t>
  </si>
  <si>
    <t>2026-10-07</t>
  </si>
  <si>
    <t>2026-10-14</t>
  </si>
  <si>
    <t>2026-10-15</t>
  </si>
  <si>
    <t>Скрин дня</t>
  </si>
  <si>
    <t>Кросс-секционные оценки: каждая метрика приведена к z-оценке внутри индекса, знак развёрнут так, что больше — всегда лучше.</t>
  </si>
  <si>
    <t>Цена</t>
  </si>
  <si>
    <t>Композит</t>
  </si>
  <si>
    <t>Блок: value</t>
  </si>
  <si>
    <t>Блок: quality</t>
  </si>
  <si>
    <t>Блок: growth</t>
  </si>
  <si>
    <t>Блок: momentum</t>
  </si>
  <si>
    <t>Блок: earnings</t>
  </si>
  <si>
    <t>Блок: risk</t>
  </si>
  <si>
    <t>Блок: technical</t>
  </si>
  <si>
    <t>P/E</t>
  </si>
  <si>
    <t>P/B</t>
  </si>
  <si>
    <t>ROE</t>
  </si>
  <si>
    <t>Рост выручки</t>
  </si>
  <si>
    <t>Момент. 6м</t>
  </si>
  <si>
    <t>RSI</t>
  </si>
  <si>
    <t>Статус</t>
  </si>
  <si>
    <t>проходит</t>
  </si>
  <si>
    <t>NTAP</t>
  </si>
  <si>
    <t>NetApp</t>
  </si>
  <si>
    <t>Micron Technology</t>
  </si>
  <si>
    <t>CRM</t>
  </si>
  <si>
    <t>Salesforce</t>
  </si>
  <si>
    <t>Dell Technologies</t>
  </si>
  <si>
    <t>CVX</t>
  </si>
  <si>
    <t>Chevron Corporation</t>
  </si>
  <si>
    <t>FTNT</t>
  </si>
  <si>
    <t>Fortinet</t>
  </si>
  <si>
    <t>ZBRA</t>
  </si>
  <si>
    <t>Zebra Technologies</t>
  </si>
  <si>
    <t>COP</t>
  </si>
  <si>
    <t>ConocoPhillips</t>
  </si>
  <si>
    <t>EOG</t>
  </si>
  <si>
    <t>EOG Resources</t>
  </si>
  <si>
    <t>HAS</t>
  </si>
  <si>
    <t>Hasbro</t>
  </si>
  <si>
    <t>TWLO</t>
  </si>
  <si>
    <t>Twilio</t>
  </si>
  <si>
    <t>LLY</t>
  </si>
  <si>
    <t>Lilly (Eli)</t>
  </si>
  <si>
    <t>SMCI</t>
  </si>
  <si>
    <t>Supermicro</t>
  </si>
  <si>
    <t>WBD</t>
  </si>
  <si>
    <t>nan</t>
  </si>
  <si>
    <t>Unknown</t>
  </si>
  <si>
    <t>XOM</t>
  </si>
  <si>
    <t>ExxonMobil</t>
  </si>
  <si>
    <t>DVN</t>
  </si>
  <si>
    <t>Devon Energy</t>
  </si>
  <si>
    <t>HUM</t>
  </si>
  <si>
    <t>Humana</t>
  </si>
  <si>
    <t>VEEV</t>
  </si>
  <si>
    <t>Veeva Systems</t>
  </si>
  <si>
    <t>MA</t>
  </si>
  <si>
    <t>Mastercard</t>
  </si>
  <si>
    <t>MO</t>
  </si>
  <si>
    <t>Altria</t>
  </si>
  <si>
    <t>FANG</t>
  </si>
  <si>
    <t>Diamondback Energy</t>
  </si>
  <si>
    <t>Факторы и самообучение</t>
  </si>
  <si>
    <t>Обучение весов временно отключено. Оно будет возвращено после реализации оценки завершённых жизненных циклов сигналов без фиксированных горизонтов доходности.</t>
  </si>
  <si>
    <t>Текущие веса блоков</t>
  </si>
  <si>
    <t>Блок</t>
  </si>
  <si>
    <t>Вес</t>
  </si>
  <si>
    <t>Метрики внутри блока</t>
  </si>
  <si>
    <t>value</t>
  </si>
  <si>
    <t>pe_ratio, pb_ratio, ev_ebitda, ps_ratio, fcf_yield</t>
  </si>
  <si>
    <t>quality</t>
  </si>
  <si>
    <t>roe, gross_margin, net_margin</t>
  </si>
  <si>
    <t>growth</t>
  </si>
  <si>
    <t>revenue_growth, earnings_growth</t>
  </si>
  <si>
    <t>momentum</t>
  </si>
  <si>
    <t>mom_3m, mom_6m, mom_12m_1m, above_ma200, above_ma50, dist_52w_high</t>
  </si>
  <si>
    <t>earnings</t>
  </si>
  <si>
    <t>earnings_surprise_pct</t>
  </si>
  <si>
    <t>risk</t>
  </si>
  <si>
    <t>volatility</t>
  </si>
  <si>
    <t>technical</t>
  </si>
  <si>
    <t>rsi14, macd_hist</t>
  </si>
  <si>
    <t>Сумма</t>
  </si>
  <si>
    <t>Журнал изменений весов</t>
  </si>
  <si>
    <t>Журнал пока пуст. Изменение весов отключено до реализации и проверки жизненно-цикловой оценки сигналов.</t>
  </si>
  <si>
    <t>Что означает IC</t>
  </si>
  <si>
    <t>IC (information coefficient) — ранговая корреляция между оценкой блока и фактической доходностью следующих 21 торговых дней. 0 означает отсутствие прогнозной силы, 0.02–0.05 для факторных моделей на акциях считается рабочим уровнем. Отрицательный IC на длинном окне — сигнал, что блок работает против нас, и его вес будет снижен до нижней границы.</t>
  </si>
  <si>
    <t>Бумажный портфель S&amp;P 500</t>
  </si>
  <si>
    <t>Обновлено 2026-10-16 00:28 UTC · данные на 2026-10-15 · стратегия «ladder-momentum-value» · все сделки виртуальные</t>
  </si>
  <si>
    <t>Доходность</t>
  </si>
  <si>
    <t>Бенчмарк SPY</t>
  </si>
  <si>
    <t>Макс. просадка</t>
  </si>
  <si>
    <t>Sharpe</t>
  </si>
  <si>
    <t>Сделок закрыто</t>
  </si>
  <si>
    <t>Доля прибыльных</t>
  </si>
  <si>
    <t>Открыто позиций</t>
  </si>
  <si>
    <t>Состояние портфеля</t>
  </si>
  <si>
    <t>Стартовый капитал</t>
  </si>
  <si>
    <t>Слотов всего</t>
  </si>
  <si>
    <t>Слотов свободно</t>
  </si>
  <si>
    <t>Ордеров в очереди</t>
  </si>
  <si>
    <t>Правило выхода</t>
  </si>
  <si>
    <t>Ослабление сигнала</t>
  </si>
  <si>
    <t>Средний срок сделки, дней</t>
  </si>
  <si>
    <t>Средняя прибыль сделки</t>
  </si>
  <si>
    <t>Средний убыток сделки</t>
  </si>
  <si>
    <t>Profit factor</t>
  </si>
  <si>
    <t>—</t>
  </si>
  <si>
    <t>Волатильность, годовая</t>
  </si>
  <si>
    <t>Дней в работе</t>
  </si>
  <si>
    <t>Капитал по листу «Позиции»</t>
  </si>
  <si>
    <t>Эта строка считается формулой: поправь «Тек. цена» на листе «Позиции» — значение пересчитается.</t>
  </si>
  <si>
    <t>Распределение по секторам</t>
  </si>
  <si>
    <t>Как это работает и чему не стоит верить</t>
  </si>
  <si>
    <t>Параметры запуска</t>
  </si>
  <si>
    <t>Время запуска (UTC)</t>
  </si>
  <si>
    <t>2026-10-16 00:28 UTC</t>
  </si>
  <si>
    <t>Дата данных</t>
  </si>
  <si>
    <t>Тикеров во вселенной</t>
  </si>
  <si>
    <t>503</t>
  </si>
  <si>
    <t>Прошли фильтры</t>
  </si>
  <si>
    <t>420</t>
  </si>
  <si>
    <t>Кандидат дня</t>
  </si>
  <si>
    <t>Проверка Alpha Vantage</t>
  </si>
  <si>
    <t>Комментарий проверки</t>
  </si>
  <si>
    <t>price confirmed; OVERVIEW unavailable</t>
  </si>
  <si>
    <t>Запросов AV использовано</t>
  </si>
  <si>
    <t>2</t>
  </si>
  <si>
    <t>Источник цен</t>
  </si>
  <si>
    <t>yfinance</t>
  </si>
  <si>
    <t>Фундаментал на дату</t>
  </si>
  <si>
    <t>2026-10-11</t>
  </si>
  <si>
    <t>Версия состояния</t>
  </si>
  <si>
    <t>Регламент данных</t>
  </si>
  <si>
    <t>Ежедневно</t>
  </si>
  <si>
    <t>Один пакетный запрос OHLCV по всей вселенной. Отсюда RSI, момент и переоценка позиций.</t>
  </si>
  <si>
    <t>Раз в неделю</t>
  </si>
  <si>
    <t>Обновление фундаментальных коэффициентов. Они меняются только с квартальными отчётами, ежедневный опрос 500 тикеров — лишний риск блокировки.</t>
  </si>
  <si>
    <t>Alpha Vantage</t>
  </si>
  <si>
    <t>1–2 запроса в день: сверка цены и коэффициентов только для финального кандидата. Бесплатный лимит ~25/день.</t>
  </si>
  <si>
    <t>Исполнение</t>
  </si>
  <si>
    <t>Сигнал считается по закрытию дня T, сделка исполняется по цене открытия дня T+1. Это исключает подглядывание в будущее.</t>
  </si>
  <si>
    <t>Честные оговорки</t>
  </si>
  <si>
    <t>Состав индекса берётся текущий. Форвардная торговля от этого не страдает, но исторические расчёты внутри модуля самообучения содержат смещение выжившего: компании, вылетевшие из индекса, в выборке не участвуют.</t>
  </si>
  <si>
    <t>История фундаментальных показателей начинает накапливаться только с момента запуска бота. Пока её мало, самообучение почти целиком опирается на ценовые факторы, а веса фундаментальных блоков двигаются медленно.</t>
  </si>
  <si>
    <t>Проскальзывание смоделировано фиксированной величиной в базисных пунктах. Реальное исполнение на открытии бывает хуже, особенно в дни отчётностей.</t>
  </si>
  <si>
    <t>Портфель из ~21 бумаги концентрирован. Отдельная позиция может дать просадку, которую индекс даже не заметит.</t>
  </si>
  <si>
    <t>Это учебный проект и бумажная торговля. Ничто здесь не является инвестиционной рекомендацией.</t>
  </si>
</sst>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0"/>
    <numFmt numFmtId="167" formatCode="0.00%"/>
    <numFmt numFmtId="168" formatCode="yyyy-mm-dd"/>
    <numFmt numFmtId="169" formatCode="0.000"/>
  </numFmts>
  <fonts count="14">
    <font>
      <sz val="11"/>
      <color theme="1"/>
      <name val="Calibri"/>
      <family val="2"/>
      <scheme val="minor"/>
    </font>
    <font>
      <b/>
      <sz val="20"/>
      <color rgb="FF1F2933"/>
      <name val="Arial"/>
      <family val="2"/>
    </font>
    <font>
      <sz val="10"/>
      <color rgb="FF7B8794"/>
      <name val="Arial"/>
      <family val="2"/>
    </font>
    <font>
      <sz val="9"/>
      <color rgb="FF7B8794"/>
      <name val="Arial"/>
      <family val="2"/>
    </font>
    <font>
      <b/>
      <sz val="18"/>
      <color rgb="FF1F2933"/>
      <name val="Arial"/>
      <family val="2"/>
    </font>
    <font>
      <b/>
      <sz val="18"/>
      <color rgb="FF0F9960"/>
      <name val="Arial"/>
      <family val="2"/>
    </font>
    <font>
      <b/>
      <sz val="18"/>
      <color rgb="FFD64545"/>
      <name val="Arial"/>
      <family val="2"/>
    </font>
    <font>
      <b/>
      <sz val="12"/>
      <color rgb="FF1F2933"/>
      <name val="Arial"/>
      <family val="2"/>
    </font>
    <font>
      <sz val="10"/>
      <color rgb="FF1F2933"/>
      <name val="Arial"/>
      <family val="2"/>
    </font>
    <font>
      <b/>
      <sz val="10"/>
      <color rgb="FF1F2933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9"/>
      <color rgb="FF8B6D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34E68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9D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334E68"/>
      </left>
      <right style="thin">
        <color rgb="FF334E68"/>
      </right>
      <top style="thin">
        <color rgb="FF334E68"/>
      </top>
      <bottom style="thin">
        <color rgb="FF334E68"/>
      </bottom>
      <diagonal/>
    </border>
    <border>
      <left style="thin">
        <color rgb="FFF0D48A"/>
      </left>
      <right style="thin">
        <color rgb="FFF0D48A"/>
      </right>
      <top style="thin">
        <color rgb="FFF0D48A"/>
      </top>
      <bottom style="thin">
        <color rgb="FFF0D48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4" fillId="0" borderId="0" xfId="0" applyFont="1"/>
    <xf numFmtId="165" fontId="4" fillId="0" borderId="0" xfId="0" applyNumberFormat="1" applyFont="1"/>
    <xf numFmtId="0" fontId="7" fillId="0" borderId="1" xfId="0" applyFont="1" applyBorder="1"/>
    <xf numFmtId="0" fontId="8" fillId="0" borderId="2" xfId="0" applyFont="1" applyBorder="1" applyAlignment="1">
      <alignment horizontal="left"/>
    </xf>
    <xf numFmtId="164" fontId="8" fillId="0" borderId="2" xfId="0" applyNumberFormat="1" applyFont="1" applyBorder="1"/>
    <xf numFmtId="1" fontId="8" fillId="0" borderId="2" xfId="0" applyNumberFormat="1" applyFont="1" applyBorder="1"/>
    <xf numFmtId="166" fontId="8" fillId="0" borderId="2" xfId="0" applyNumberFormat="1" applyFont="1" applyBorder="1"/>
    <xf numFmtId="167" fontId="8" fillId="0" borderId="2" xfId="0" applyNumberFormat="1" applyFont="1" applyBorder="1"/>
    <xf numFmtId="165" fontId="8" fillId="0" borderId="2" xfId="0" applyNumberFormat="1" applyFont="1" applyBorder="1"/>
    <xf numFmtId="0" fontId="9" fillId="0" borderId="0" xfId="0" applyFont="1"/>
    <xf numFmtId="0" fontId="3" fillId="0" borderId="0" xfId="0" applyFont="1" applyAlignment="1">
      <alignment vertical="top" wrapText="1"/>
    </xf>
    <xf numFmtId="0" fontId="10" fillId="2" borderId="3" xfId="0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/>
    </xf>
    <xf numFmtId="169" fontId="8" fillId="0" borderId="2" xfId="0" applyNumberFormat="1" applyFont="1" applyBorder="1"/>
    <xf numFmtId="164" fontId="11" fillId="3" borderId="2" xfId="0" applyNumberFormat="1" applyFont="1" applyFill="1" applyBorder="1"/>
    <xf numFmtId="0" fontId="8" fillId="0" borderId="2" xfId="0" applyFont="1" applyBorder="1"/>
    <xf numFmtId="0" fontId="12" fillId="4" borderId="2" xfId="0" applyFont="1" applyFill="1" applyBorder="1"/>
    <xf numFmtId="0" fontId="8" fillId="5" borderId="2" xfId="0" applyFont="1" applyFill="1" applyBorder="1"/>
    <xf numFmtId="0" fontId="12" fillId="5" borderId="2" xfId="0" applyFont="1" applyFill="1" applyBorder="1"/>
    <xf numFmtId="0" fontId="13" fillId="6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Arial"/>
              </a:defRPr>
            </a:pPr>
            <a:r>
              <a:rPr lang="en-US" sz="1100" baseline="0">
                <a:latin typeface="Arial"/>
              </a:rPr>
              <a:t>Секторы портфеля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Секторы</c:v>
          </c:tx>
          <c:dLbls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Сводка!$B$33:$B$39</c:f>
              <c:strCache>
                <c:ptCount val="7"/>
                <c:pt idx="0">
                  <c:v>Energy</c:v>
                </c:pt>
                <c:pt idx="1">
                  <c:v>Information Technology</c:v>
                </c:pt>
                <c:pt idx="2">
                  <c:v>Health Care</c:v>
                </c:pt>
                <c:pt idx="3">
                  <c:v>Financials</c:v>
                </c:pt>
                <c:pt idx="4">
                  <c:v>Consumer Staples</c:v>
                </c:pt>
                <c:pt idx="5">
                  <c:v>Communication Services</c:v>
                </c:pt>
                <c:pt idx="6">
                  <c:v>Consumer Discretionary</c:v>
                </c:pt>
              </c:strCache>
            </c:strRef>
          </c:cat>
          <c:val>
            <c:numRef>
              <c:f>Сводка!$C$33:$C$39</c:f>
              <c:numCache>
                <c:formatCode>General</c:formatCode>
                <c:ptCount val="7"/>
                <c:pt idx="0">
                  <c:v>2745.23</c:v>
                </c:pt>
                <c:pt idx="1">
                  <c:v>1823.09</c:v>
                </c:pt>
                <c:pt idx="2">
                  <c:v>1811.77</c:v>
                </c:pt>
                <c:pt idx="3">
                  <c:v>1464.11</c:v>
                </c:pt>
                <c:pt idx="4">
                  <c:v>1006.28</c:v>
                </c:pt>
                <c:pt idx="5">
                  <c:v>993.98</c:v>
                </c:pt>
                <c:pt idx="6">
                  <c:v>491.1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Arial"/>
              </a:defRPr>
            </a:pPr>
            <a:r>
              <a:rPr lang="en-US" sz="1100" baseline="0">
                <a:latin typeface="Arial"/>
              </a:rPr>
              <a:t>Капитал портфеля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Портфель</c:v>
          </c:tx>
          <c:spPr>
            <a:ln w="25400">
              <a:solidFill>
                <a:srgbClr val="0B5FFF"/>
              </a:solidFill>
            </a:ln>
          </c:spPr>
          <c:marker>
            <c:symbol val="none"/>
          </c:marker>
          <c:cat>
            <c:strRef>
              <c:f>Капитал!$A$5:$A$32</c:f>
              <c:strCache>
                <c:ptCount val="28"/>
                <c:pt idx="0">
                  <c:v>2026-08-24</c:v>
                </c:pt>
                <c:pt idx="1">
                  <c:v>2026-08-25</c:v>
                </c:pt>
                <c:pt idx="2">
                  <c:v>2026-08-26</c:v>
                </c:pt>
                <c:pt idx="3">
                  <c:v>2026-08-27</c:v>
                </c:pt>
                <c:pt idx="4">
                  <c:v>2026-08-28</c:v>
                </c:pt>
                <c:pt idx="5">
                  <c:v>2026-08-31</c:v>
                </c:pt>
                <c:pt idx="6">
                  <c:v>2026-09-01</c:v>
                </c:pt>
                <c:pt idx="7">
                  <c:v>2026-09-02</c:v>
                </c:pt>
                <c:pt idx="8">
                  <c:v>2026-09-03</c:v>
                </c:pt>
                <c:pt idx="9">
                  <c:v>2026-09-04</c:v>
                </c:pt>
                <c:pt idx="10">
                  <c:v>2026-09-08</c:v>
                </c:pt>
                <c:pt idx="11">
                  <c:v>2026-09-10</c:v>
                </c:pt>
                <c:pt idx="12">
                  <c:v>2026-09-11</c:v>
                </c:pt>
                <c:pt idx="13">
                  <c:v>2026-09-14</c:v>
                </c:pt>
                <c:pt idx="14">
                  <c:v>2026-09-16</c:v>
                </c:pt>
                <c:pt idx="15">
                  <c:v>2026-09-17</c:v>
                </c:pt>
                <c:pt idx="16">
                  <c:v>2026-09-18</c:v>
                </c:pt>
                <c:pt idx="17">
                  <c:v>2026-09-28</c:v>
                </c:pt>
                <c:pt idx="18">
                  <c:v>2026-09-29</c:v>
                </c:pt>
                <c:pt idx="19">
                  <c:v>2026-10-01</c:v>
                </c:pt>
                <c:pt idx="20">
                  <c:v>2026-10-05</c:v>
                </c:pt>
                <c:pt idx="21">
                  <c:v>2026-10-06</c:v>
                </c:pt>
                <c:pt idx="22">
                  <c:v>2026-10-07</c:v>
                </c:pt>
                <c:pt idx="23">
                  <c:v>2026-10-08</c:v>
                </c:pt>
                <c:pt idx="24">
                  <c:v>2026-10-09</c:v>
                </c:pt>
                <c:pt idx="25">
                  <c:v>2026-10-12</c:v>
                </c:pt>
                <c:pt idx="26">
                  <c:v>2026-10-14</c:v>
                </c:pt>
                <c:pt idx="27">
                  <c:v>2026-10-15</c:v>
                </c:pt>
              </c:strCache>
            </c:strRef>
          </c:cat>
          <c:val>
            <c:numRef>
              <c:f>Капитал!$D$5:$D$32</c:f>
              <c:numCache>
                <c:formatCode>General</c:formatCode>
                <c:ptCount val="28"/>
                <c:pt idx="0">
                  <c:v>10000.0</c:v>
                </c:pt>
                <c:pt idx="1">
                  <c:v>10009.01</c:v>
                </c:pt>
                <c:pt idx="2">
                  <c:v>10028.53</c:v>
                </c:pt>
                <c:pt idx="3">
                  <c:v>10015.949999999999</c:v>
                </c:pt>
                <c:pt idx="4">
                  <c:v>9994.27</c:v>
                </c:pt>
                <c:pt idx="5">
                  <c:v>10021.720000000001</c:v>
                </c:pt>
                <c:pt idx="6">
                  <c:v>9972.67</c:v>
                </c:pt>
                <c:pt idx="7">
                  <c:v>9972.67</c:v>
                </c:pt>
                <c:pt idx="8">
                  <c:v>9972.67</c:v>
                </c:pt>
                <c:pt idx="9">
                  <c:v>10216.05</c:v>
                </c:pt>
                <c:pt idx="10">
                  <c:v>10216.05</c:v>
                </c:pt>
                <c:pt idx="11">
                  <c:v>10216.05</c:v>
                </c:pt>
                <c:pt idx="12">
                  <c:v>10216.05</c:v>
                </c:pt>
                <c:pt idx="13">
                  <c:v>10163.98</c:v>
                </c:pt>
                <c:pt idx="14">
                  <c:v>10163.98</c:v>
                </c:pt>
                <c:pt idx="15">
                  <c:v>10163.98</c:v>
                </c:pt>
                <c:pt idx="16">
                  <c:v>10163.98</c:v>
                </c:pt>
                <c:pt idx="17">
                  <c:v>10217.93</c:v>
                </c:pt>
                <c:pt idx="18">
                  <c:v>10217.93</c:v>
                </c:pt>
                <c:pt idx="19">
                  <c:v>10289.119999999999</c:v>
                </c:pt>
                <c:pt idx="20">
                  <c:v>10385.050000000001</c:v>
                </c:pt>
                <c:pt idx="21">
                  <c:v>10342.5</c:v>
                </c:pt>
                <c:pt idx="22">
                  <c:v>10386.09</c:v>
                </c:pt>
                <c:pt idx="23">
                  <c:v>10410.43</c:v>
                </c:pt>
                <c:pt idx="24">
                  <c:v>10448.01</c:v>
                </c:pt>
                <c:pt idx="25">
                  <c:v>10434.289999999999</c:v>
                </c:pt>
                <c:pt idx="26">
                  <c:v>10495.47</c:v>
                </c:pt>
                <c:pt idx="27">
                  <c:v>10495.47</c:v>
                </c:pt>
              </c:numCache>
            </c:numRef>
          </c:val>
        </c:ser>
        <c:ser>
          <c:idx val="1"/>
          <c:order val="1"/>
          <c:tx>
            <c:v>S&amp;P 500 (SPY)</c:v>
          </c:tx>
          <c:spPr>
            <a:ln w="15875">
              <a:solidFill>
                <a:srgbClr val="7B8794"/>
              </a:solidFill>
              <a:prstDash val="dash"/>
            </a:ln>
          </c:spPr>
          <c:marker>
            <c:symbol val="none"/>
          </c:marker>
          <c:cat>
            <c:strRef>
              <c:f>Капитал!$A$5:$A$32</c:f>
              <c:strCache>
                <c:ptCount val="28"/>
                <c:pt idx="0">
                  <c:v>2026-08-24</c:v>
                </c:pt>
                <c:pt idx="1">
                  <c:v>2026-08-25</c:v>
                </c:pt>
                <c:pt idx="2">
                  <c:v>2026-08-26</c:v>
                </c:pt>
                <c:pt idx="3">
                  <c:v>2026-08-27</c:v>
                </c:pt>
                <c:pt idx="4">
                  <c:v>2026-08-28</c:v>
                </c:pt>
                <c:pt idx="5">
                  <c:v>2026-08-31</c:v>
                </c:pt>
                <c:pt idx="6">
                  <c:v>2026-09-01</c:v>
                </c:pt>
                <c:pt idx="7">
                  <c:v>2026-09-02</c:v>
                </c:pt>
                <c:pt idx="8">
                  <c:v>2026-09-03</c:v>
                </c:pt>
                <c:pt idx="9">
                  <c:v>2026-09-04</c:v>
                </c:pt>
                <c:pt idx="10">
                  <c:v>2026-09-08</c:v>
                </c:pt>
                <c:pt idx="11">
                  <c:v>2026-09-10</c:v>
                </c:pt>
                <c:pt idx="12">
                  <c:v>2026-09-11</c:v>
                </c:pt>
                <c:pt idx="13">
                  <c:v>2026-09-14</c:v>
                </c:pt>
                <c:pt idx="14">
                  <c:v>2026-09-16</c:v>
                </c:pt>
                <c:pt idx="15">
                  <c:v>2026-09-17</c:v>
                </c:pt>
                <c:pt idx="16">
                  <c:v>2026-09-18</c:v>
                </c:pt>
                <c:pt idx="17">
                  <c:v>2026-09-28</c:v>
                </c:pt>
                <c:pt idx="18">
                  <c:v>2026-09-29</c:v>
                </c:pt>
                <c:pt idx="19">
                  <c:v>2026-10-01</c:v>
                </c:pt>
                <c:pt idx="20">
                  <c:v>2026-10-05</c:v>
                </c:pt>
                <c:pt idx="21">
                  <c:v>2026-10-06</c:v>
                </c:pt>
                <c:pt idx="22">
                  <c:v>2026-10-07</c:v>
                </c:pt>
                <c:pt idx="23">
                  <c:v>2026-10-08</c:v>
                </c:pt>
                <c:pt idx="24">
                  <c:v>2026-10-09</c:v>
                </c:pt>
                <c:pt idx="25">
                  <c:v>2026-10-12</c:v>
                </c:pt>
                <c:pt idx="26">
                  <c:v>2026-10-14</c:v>
                </c:pt>
                <c:pt idx="27">
                  <c:v>2026-10-15</c:v>
                </c:pt>
              </c:strCache>
            </c:strRef>
          </c:cat>
          <c:val>
            <c:numRef>
              <c:f>Капитал!$F$5:$F$32</c:f>
              <c:numCache>
                <c:formatCode>General</c:formatCode>
                <c:ptCount val="28"/>
                <c:pt idx="0">
                  <c:v>10000</c:v>
                </c:pt>
                <c:pt idx="1">
                  <c:v>10031.96</c:v>
                </c:pt>
                <c:pt idx="2">
                  <c:v>10034.19</c:v>
                </c:pt>
                <c:pt idx="3">
                  <c:v>10099.94</c:v>
                </c:pt>
                <c:pt idx="4">
                  <c:v>10077.02</c:v>
                </c:pt>
                <c:pt idx="5">
                  <c:v>10046.89</c:v>
                </c:pt>
                <c:pt idx="6">
                  <c:v>9977.860000000001</c:v>
                </c:pt>
                <c:pt idx="7">
                  <c:v>0</c:v>
                </c:pt>
                <c:pt idx="8">
                  <c:v>0</c:v>
                </c:pt>
                <c:pt idx="9">
                  <c:v>10088.02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9966.08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10059.63</c:v>
                </c:pt>
                <c:pt idx="18">
                  <c:v>0</c:v>
                </c:pt>
                <c:pt idx="19">
                  <c:v>10031.66</c:v>
                </c:pt>
                <c:pt idx="20">
                  <c:v>10174</c:v>
                </c:pt>
                <c:pt idx="21">
                  <c:v>10229.93</c:v>
                </c:pt>
                <c:pt idx="22">
                  <c:v>10205.38</c:v>
                </c:pt>
                <c:pt idx="23">
                  <c:v>10136.05</c:v>
                </c:pt>
                <c:pt idx="24">
                  <c:v>10223.11</c:v>
                </c:pt>
                <c:pt idx="25">
                  <c:v>10216.93</c:v>
                </c:pt>
                <c:pt idx="26">
                  <c:v>10105.32</c:v>
                </c:pt>
                <c:pt idx="27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$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Капитал во времени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Портфель</c:v>
          </c:tx>
          <c:spPr>
            <a:ln w="25400">
              <a:solidFill>
                <a:srgbClr val="0B5FFF"/>
              </a:solidFill>
            </a:ln>
          </c:spPr>
          <c:marker>
            <c:symbol val="none"/>
          </c:marker>
          <c:cat>
            <c:strRef>
              <c:f>Капитал!$A$5:$A$32</c:f>
              <c:strCache>
                <c:ptCount val="28"/>
                <c:pt idx="0">
                  <c:v>2026-08-24</c:v>
                </c:pt>
                <c:pt idx="1">
                  <c:v>2026-08-25</c:v>
                </c:pt>
                <c:pt idx="2">
                  <c:v>2026-08-26</c:v>
                </c:pt>
                <c:pt idx="3">
                  <c:v>2026-08-27</c:v>
                </c:pt>
                <c:pt idx="4">
                  <c:v>2026-08-28</c:v>
                </c:pt>
                <c:pt idx="5">
                  <c:v>2026-08-31</c:v>
                </c:pt>
                <c:pt idx="6">
                  <c:v>2026-09-01</c:v>
                </c:pt>
                <c:pt idx="7">
                  <c:v>2026-09-02</c:v>
                </c:pt>
                <c:pt idx="8">
                  <c:v>2026-09-03</c:v>
                </c:pt>
                <c:pt idx="9">
                  <c:v>2026-09-04</c:v>
                </c:pt>
                <c:pt idx="10">
                  <c:v>2026-09-08</c:v>
                </c:pt>
                <c:pt idx="11">
                  <c:v>2026-09-10</c:v>
                </c:pt>
                <c:pt idx="12">
                  <c:v>2026-09-11</c:v>
                </c:pt>
                <c:pt idx="13">
                  <c:v>2026-09-14</c:v>
                </c:pt>
                <c:pt idx="14">
                  <c:v>2026-09-16</c:v>
                </c:pt>
                <c:pt idx="15">
                  <c:v>2026-09-17</c:v>
                </c:pt>
                <c:pt idx="16">
                  <c:v>2026-09-18</c:v>
                </c:pt>
                <c:pt idx="17">
                  <c:v>2026-09-28</c:v>
                </c:pt>
                <c:pt idx="18">
                  <c:v>2026-09-29</c:v>
                </c:pt>
                <c:pt idx="19">
                  <c:v>2026-10-01</c:v>
                </c:pt>
                <c:pt idx="20">
                  <c:v>2026-10-05</c:v>
                </c:pt>
                <c:pt idx="21">
                  <c:v>2026-10-06</c:v>
                </c:pt>
                <c:pt idx="22">
                  <c:v>2026-10-07</c:v>
                </c:pt>
                <c:pt idx="23">
                  <c:v>2026-10-08</c:v>
                </c:pt>
                <c:pt idx="24">
                  <c:v>2026-10-09</c:v>
                </c:pt>
                <c:pt idx="25">
                  <c:v>2026-10-12</c:v>
                </c:pt>
                <c:pt idx="26">
                  <c:v>2026-10-14</c:v>
                </c:pt>
                <c:pt idx="27">
                  <c:v>2026-10-15</c:v>
                </c:pt>
              </c:strCache>
            </c:strRef>
          </c:cat>
          <c:val>
            <c:numRef>
              <c:f>Капитал!$D$5:$D$32</c:f>
              <c:numCache>
                <c:formatCode>General</c:formatCode>
                <c:ptCount val="28"/>
                <c:pt idx="0">
                  <c:v>10000.0</c:v>
                </c:pt>
                <c:pt idx="1">
                  <c:v>10009.01</c:v>
                </c:pt>
                <c:pt idx="2">
                  <c:v>10028.53</c:v>
                </c:pt>
                <c:pt idx="3">
                  <c:v>10015.949999999999</c:v>
                </c:pt>
                <c:pt idx="4">
                  <c:v>9994.27</c:v>
                </c:pt>
                <c:pt idx="5">
                  <c:v>10021.720000000001</c:v>
                </c:pt>
                <c:pt idx="6">
                  <c:v>9972.67</c:v>
                </c:pt>
                <c:pt idx="7">
                  <c:v>9972.67</c:v>
                </c:pt>
                <c:pt idx="8">
                  <c:v>9972.67</c:v>
                </c:pt>
                <c:pt idx="9">
                  <c:v>10216.05</c:v>
                </c:pt>
                <c:pt idx="10">
                  <c:v>10216.05</c:v>
                </c:pt>
                <c:pt idx="11">
                  <c:v>10216.05</c:v>
                </c:pt>
                <c:pt idx="12">
                  <c:v>10216.05</c:v>
                </c:pt>
                <c:pt idx="13">
                  <c:v>10163.98</c:v>
                </c:pt>
                <c:pt idx="14">
                  <c:v>10163.98</c:v>
                </c:pt>
                <c:pt idx="15">
                  <c:v>10163.98</c:v>
                </c:pt>
                <c:pt idx="16">
                  <c:v>10163.98</c:v>
                </c:pt>
                <c:pt idx="17">
                  <c:v>10217.93</c:v>
                </c:pt>
                <c:pt idx="18">
                  <c:v>10217.93</c:v>
                </c:pt>
                <c:pt idx="19">
                  <c:v>10289.119999999999</c:v>
                </c:pt>
                <c:pt idx="20">
                  <c:v>10385.050000000001</c:v>
                </c:pt>
                <c:pt idx="21">
                  <c:v>10342.5</c:v>
                </c:pt>
                <c:pt idx="22">
                  <c:v>10386.09</c:v>
                </c:pt>
                <c:pt idx="23">
                  <c:v>10410.43</c:v>
                </c:pt>
                <c:pt idx="24">
                  <c:v>10448.01</c:v>
                </c:pt>
                <c:pt idx="25">
                  <c:v>10434.289999999999</c:v>
                </c:pt>
                <c:pt idx="26">
                  <c:v>10495.47</c:v>
                </c:pt>
                <c:pt idx="27">
                  <c:v>10495.47</c:v>
                </c:pt>
              </c:numCache>
            </c:numRef>
          </c:val>
        </c:ser>
        <c:ser>
          <c:idx val="1"/>
          <c:order val="1"/>
          <c:tx>
            <c:v>S&amp;P 500 (SPY)</c:v>
          </c:tx>
          <c:spPr>
            <a:ln w="15875">
              <a:solidFill>
                <a:srgbClr val="7B8794"/>
              </a:solidFill>
              <a:prstDash val="dash"/>
            </a:ln>
          </c:spPr>
          <c:marker>
            <c:symbol val="none"/>
          </c:marker>
          <c:cat>
            <c:strRef>
              <c:f>Капитал!$A$5:$A$32</c:f>
              <c:strCache>
                <c:ptCount val="28"/>
                <c:pt idx="0">
                  <c:v>2026-08-24</c:v>
                </c:pt>
                <c:pt idx="1">
                  <c:v>2026-08-25</c:v>
                </c:pt>
                <c:pt idx="2">
                  <c:v>2026-08-26</c:v>
                </c:pt>
                <c:pt idx="3">
                  <c:v>2026-08-27</c:v>
                </c:pt>
                <c:pt idx="4">
                  <c:v>2026-08-28</c:v>
                </c:pt>
                <c:pt idx="5">
                  <c:v>2026-08-31</c:v>
                </c:pt>
                <c:pt idx="6">
                  <c:v>2026-09-01</c:v>
                </c:pt>
                <c:pt idx="7">
                  <c:v>2026-09-02</c:v>
                </c:pt>
                <c:pt idx="8">
                  <c:v>2026-09-03</c:v>
                </c:pt>
                <c:pt idx="9">
                  <c:v>2026-09-04</c:v>
                </c:pt>
                <c:pt idx="10">
                  <c:v>2026-09-08</c:v>
                </c:pt>
                <c:pt idx="11">
                  <c:v>2026-09-10</c:v>
                </c:pt>
                <c:pt idx="12">
                  <c:v>2026-09-11</c:v>
                </c:pt>
                <c:pt idx="13">
                  <c:v>2026-09-14</c:v>
                </c:pt>
                <c:pt idx="14">
                  <c:v>2026-09-16</c:v>
                </c:pt>
                <c:pt idx="15">
                  <c:v>2026-09-17</c:v>
                </c:pt>
                <c:pt idx="16">
                  <c:v>2026-09-18</c:v>
                </c:pt>
                <c:pt idx="17">
                  <c:v>2026-09-28</c:v>
                </c:pt>
                <c:pt idx="18">
                  <c:v>2026-09-29</c:v>
                </c:pt>
                <c:pt idx="19">
                  <c:v>2026-10-01</c:v>
                </c:pt>
                <c:pt idx="20">
                  <c:v>2026-10-05</c:v>
                </c:pt>
                <c:pt idx="21">
                  <c:v>2026-10-06</c:v>
                </c:pt>
                <c:pt idx="22">
                  <c:v>2026-10-07</c:v>
                </c:pt>
                <c:pt idx="23">
                  <c:v>2026-10-08</c:v>
                </c:pt>
                <c:pt idx="24">
                  <c:v>2026-10-09</c:v>
                </c:pt>
                <c:pt idx="25">
                  <c:v>2026-10-12</c:v>
                </c:pt>
                <c:pt idx="26">
                  <c:v>2026-10-14</c:v>
                </c:pt>
                <c:pt idx="27">
                  <c:v>2026-10-15</c:v>
                </c:pt>
              </c:strCache>
            </c:strRef>
          </c:cat>
          <c:val>
            <c:numRef>
              <c:f>Капитал!$F$5:$F$32</c:f>
              <c:numCache>
                <c:formatCode>General</c:formatCode>
                <c:ptCount val="28"/>
                <c:pt idx="0">
                  <c:v>10000</c:v>
                </c:pt>
                <c:pt idx="1">
                  <c:v>10031.96</c:v>
                </c:pt>
                <c:pt idx="2">
                  <c:v>10034.19</c:v>
                </c:pt>
                <c:pt idx="3">
                  <c:v>10099.94</c:v>
                </c:pt>
                <c:pt idx="4">
                  <c:v>10077.02</c:v>
                </c:pt>
                <c:pt idx="5">
                  <c:v>10046.89</c:v>
                </c:pt>
                <c:pt idx="6">
                  <c:v>9977.860000000001</c:v>
                </c:pt>
                <c:pt idx="7">
                  <c:v>0</c:v>
                </c:pt>
                <c:pt idx="8">
                  <c:v>0</c:v>
                </c:pt>
                <c:pt idx="9">
                  <c:v>10088.02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9966.08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10059.63</c:v>
                </c:pt>
                <c:pt idx="18">
                  <c:v>0</c:v>
                </c:pt>
                <c:pt idx="19">
                  <c:v>10031.66</c:v>
                </c:pt>
                <c:pt idx="20">
                  <c:v>10174</c:v>
                </c:pt>
                <c:pt idx="21">
                  <c:v>10229.93</c:v>
                </c:pt>
                <c:pt idx="22">
                  <c:v>10205.38</c:v>
                </c:pt>
                <c:pt idx="23">
                  <c:v>10136.05</c:v>
                </c:pt>
                <c:pt idx="24">
                  <c:v>10223.11</c:v>
                </c:pt>
                <c:pt idx="25">
                  <c:v>10216.93</c:v>
                </c:pt>
                <c:pt idx="26">
                  <c:v>10105.32</c:v>
                </c:pt>
                <c:pt idx="27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D9E2EC"/>
              </a:solidFill>
            </a:ln>
          </c:spPr>
        </c:majorGridlines>
        <c:numFmt formatCode="$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7</xdr:col>
      <xdr:colOff>666750</xdr:colOff>
      <xdr:row>44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57150</xdr:colOff>
      <xdr:row>24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18</xdr:col>
      <xdr:colOff>533400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39"/>
  <sheetViews>
    <sheetView showGridLines="0" tabSelected="1" workbookViewId="0"/>
  </sheetViews>
  <sheetFormatPr defaultRowHeight="15"/>
  <cols>
    <col min="1" max="1" width="26.7109375" customWidth="1"/>
    <col min="2" max="2" width="14.7109375" customWidth="1"/>
    <col min="3" max="9" width="15.7109375" customWidth="1"/>
  </cols>
  <sheetData>
    <row r="2" spans="2:8">
      <c r="B2" s="1" t="s">
        <v>203</v>
      </c>
    </row>
    <row r="3" spans="2:8">
      <c r="B3" s="2" t="s">
        <v>204</v>
      </c>
    </row>
    <row r="5" spans="2:8">
      <c r="B5" s="3" t="s">
        <v>102</v>
      </c>
      <c r="D5" s="3" t="s">
        <v>205</v>
      </c>
      <c r="F5" s="3" t="s">
        <v>206</v>
      </c>
      <c r="H5" s="3" t="s">
        <v>207</v>
      </c>
    </row>
    <row r="6" spans="2:8">
      <c r="B6" s="4">
        <v>10495.46629703398</v>
      </c>
      <c r="D6" s="5">
        <v>0.04954662970339774</v>
      </c>
      <c r="F6" s="5">
        <v>0.01053199999999999</v>
      </c>
      <c r="H6" s="6">
        <v>-0.005570108480505209</v>
      </c>
    </row>
    <row r="8" spans="2:8">
      <c r="B8" s="3" t="s">
        <v>208</v>
      </c>
      <c r="D8" s="3" t="s">
        <v>209</v>
      </c>
      <c r="F8" s="3" t="s">
        <v>210</v>
      </c>
      <c r="H8" s="3" t="s">
        <v>211</v>
      </c>
    </row>
    <row r="9" spans="2:8">
      <c r="B9" s="7">
        <v>5.180756315998459</v>
      </c>
      <c r="D9" s="7">
        <v>2</v>
      </c>
      <c r="F9" s="8">
        <v>1</v>
      </c>
      <c r="H9" s="7">
        <v>21</v>
      </c>
    </row>
    <row r="12" spans="2:8">
      <c r="B12" s="9" t="s">
        <v>212</v>
      </c>
    </row>
    <row r="13" spans="2:8">
      <c r="B13" s="10" t="s">
        <v>100</v>
      </c>
      <c r="C13" s="11">
        <v>159.906297033976</v>
      </c>
    </row>
    <row r="14" spans="2:8">
      <c r="B14" s="10" t="s">
        <v>101</v>
      </c>
      <c r="C14" s="11">
        <v>10335.56</v>
      </c>
    </row>
    <row r="15" spans="2:8">
      <c r="B15" s="10" t="s">
        <v>102</v>
      </c>
      <c r="C15" s="11">
        <v>10495.46629703398</v>
      </c>
    </row>
    <row r="16" spans="2:8">
      <c r="B16" s="10" t="s">
        <v>213</v>
      </c>
      <c r="C16" s="11">
        <v>10000</v>
      </c>
    </row>
    <row r="17" spans="1:3">
      <c r="B17" s="10" t="s">
        <v>214</v>
      </c>
      <c r="C17" s="12">
        <v>21</v>
      </c>
    </row>
    <row r="18" spans="1:3">
      <c r="B18" s="10" t="s">
        <v>215</v>
      </c>
      <c r="C18" s="12">
        <v>0</v>
      </c>
    </row>
    <row r="19" spans="1:3">
      <c r="B19" s="10" t="s">
        <v>216</v>
      </c>
      <c r="C19" s="12">
        <v>5</v>
      </c>
    </row>
    <row r="20" spans="1:3">
      <c r="B20" s="10" t="s">
        <v>217</v>
      </c>
      <c r="C20" s="10" t="s">
        <v>218</v>
      </c>
    </row>
    <row r="21" spans="1:3">
      <c r="B21" s="10" t="s">
        <v>219</v>
      </c>
      <c r="C21" s="13">
        <v>22</v>
      </c>
    </row>
    <row r="22" spans="1:3">
      <c r="B22" s="10" t="s">
        <v>220</v>
      </c>
      <c r="C22" s="14">
        <v>0.210302</v>
      </c>
    </row>
    <row r="23" spans="1:3">
      <c r="B23" s="10" t="s">
        <v>221</v>
      </c>
      <c r="C23" s="14">
        <v>0</v>
      </c>
    </row>
    <row r="24" spans="1:3">
      <c r="B24" s="10" t="s">
        <v>222</v>
      </c>
      <c r="C24" s="10" t="s">
        <v>223</v>
      </c>
    </row>
    <row r="25" spans="1:3">
      <c r="B25" s="10" t="s">
        <v>224</v>
      </c>
      <c r="C25" s="15">
        <v>0.08793639336079187</v>
      </c>
    </row>
    <row r="26" spans="1:3">
      <c r="B26" s="10" t="s">
        <v>225</v>
      </c>
      <c r="C26" s="12">
        <v>28</v>
      </c>
    </row>
    <row r="28" spans="1:3">
      <c r="B28" s="16" t="s">
        <v>226</v>
      </c>
      <c r="C28" s="11">
        <f>C13+IFERROR(SUM('Позиции'!I5:I200),0)</f>
        <v>10495.466297033978</v>
      </c>
    </row>
    <row r="29" spans="1:3">
      <c r="B29" s="17" t="s">
        <v>227</v>
      </c>
    </row>
    <row r="31" spans="1:3">
      <c r="B31" s="9" t="s">
        <v>228</v>
      </c>
    </row>
    <row r="32" spans="1:3" ht="30" customHeight="1">
      <c r="A32" s="18" t="s">
        <v>25</v>
      </c>
      <c r="B32" s="18" t="s">
        <v>31</v>
      </c>
    </row>
    <row r="33" spans="2:3">
      <c r="B33" s="10" t="s">
        <v>48</v>
      </c>
      <c r="C33" s="11">
        <v>2745.23</v>
      </c>
    </row>
    <row r="34" spans="2:3">
      <c r="B34" s="10" t="s">
        <v>41</v>
      </c>
      <c r="C34" s="11">
        <v>1823.09</v>
      </c>
    </row>
    <row r="35" spans="2:3">
      <c r="B35" s="10" t="s">
        <v>63</v>
      </c>
      <c r="C35" s="11">
        <v>1811.77</v>
      </c>
    </row>
    <row r="36" spans="2:3">
      <c r="B36" s="10" t="s">
        <v>59</v>
      </c>
      <c r="C36" s="11">
        <v>1464.11</v>
      </c>
    </row>
    <row r="37" spans="2:3">
      <c r="B37" s="10" t="s">
        <v>68</v>
      </c>
      <c r="C37" s="11">
        <v>1006.28</v>
      </c>
    </row>
    <row r="38" spans="2:3">
      <c r="B38" s="10" t="s">
        <v>61</v>
      </c>
      <c r="C38" s="11">
        <v>993.98</v>
      </c>
    </row>
    <row r="39" spans="2:3">
      <c r="B39" s="10" t="s">
        <v>71</v>
      </c>
      <c r="C39" s="11">
        <v>491.1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26.7109375" customWidth="1"/>
    <col min="3" max="3" width="22.7109375" customWidth="1"/>
    <col min="4" max="4" width="12.7109375" customWidth="1"/>
    <col min="5" max="5" width="11.7109375" customWidth="1"/>
    <col min="6" max="6" width="10.7109375" customWidth="1"/>
    <col min="7" max="8" width="11.7109375" customWidth="1"/>
    <col min="9" max="9" width="12.7109375" customWidth="1"/>
    <col min="10" max="10" width="11.7109375" customWidth="1"/>
    <col min="11" max="11" width="9.7109375" customWidth="1"/>
    <col min="12" max="12" width="12.7109375" customWidth="1"/>
    <col min="13" max="14" width="11.7109375" customWidth="1"/>
    <col min="15" max="16" width="14.7109375" customWidth="1"/>
    <col min="17" max="17" width="9.7109375" customWidth="1"/>
  </cols>
  <sheetData>
    <row r="1" spans="1:17">
      <c r="A1" s="1" t="s">
        <v>21</v>
      </c>
    </row>
    <row r="2" spans="1:17">
      <c r="A2" s="2" t="s">
        <v>22</v>
      </c>
    </row>
    <row r="4" spans="1:17" ht="30" customHeight="1">
      <c r="A4" s="18" t="s">
        <v>23</v>
      </c>
      <c r="B4" s="18" t="s">
        <v>24</v>
      </c>
      <c r="C4" s="18" t="s">
        <v>25</v>
      </c>
      <c r="D4" s="18" t="s">
        <v>26</v>
      </c>
      <c r="E4" s="18" t="s">
        <v>27</v>
      </c>
      <c r="F4" s="18" t="s">
        <v>28</v>
      </c>
      <c r="G4" s="18" t="s">
        <v>29</v>
      </c>
      <c r="H4" s="18" t="s">
        <v>30</v>
      </c>
      <c r="I4" s="18" t="s">
        <v>31</v>
      </c>
      <c r="J4" s="18" t="s">
        <v>32</v>
      </c>
      <c r="K4" s="18" t="s">
        <v>33</v>
      </c>
      <c r="L4" s="18" t="s">
        <v>34</v>
      </c>
      <c r="M4" s="18" t="s">
        <v>35</v>
      </c>
      <c r="N4" s="18" t="s">
        <v>36</v>
      </c>
      <c r="O4" s="18" t="s">
        <v>37</v>
      </c>
      <c r="P4" s="18" t="s">
        <v>38</v>
      </c>
      <c r="Q4" s="18" t="s">
        <v>39</v>
      </c>
    </row>
    <row r="5" spans="1:17">
      <c r="A5" s="10" t="s">
        <v>0</v>
      </c>
      <c r="B5" s="10" t="s">
        <v>40</v>
      </c>
      <c r="C5" s="10" t="s">
        <v>41</v>
      </c>
      <c r="D5" s="19" t="s">
        <v>42</v>
      </c>
      <c r="E5" s="11">
        <v>1550.1948</v>
      </c>
      <c r="F5" s="20">
        <v>0.308058</v>
      </c>
      <c r="G5" s="11">
        <v>477.55</v>
      </c>
      <c r="H5" s="21">
        <v>1487.33</v>
      </c>
      <c r="I5" s="11">
        <f>F5*H5</f>
        <v>458.18390514</v>
      </c>
      <c r="J5" s="11">
        <f>I5-G5</f>
        <v>-19.366094860000032</v>
      </c>
      <c r="K5" s="14">
        <f>IFERROR(J5/G5,0)</f>
        <v>-0.040553020332949496</v>
      </c>
      <c r="L5" s="12">
        <v>24</v>
      </c>
      <c r="M5" s="10" t="s">
        <v>43</v>
      </c>
      <c r="N5" s="13">
        <v>1.655247920227722</v>
      </c>
      <c r="O5" s="10" t="s">
        <v>44</v>
      </c>
      <c r="Q5" s="13">
        <v>1</v>
      </c>
    </row>
    <row r="6" spans="1:17">
      <c r="A6" s="10" t="s">
        <v>1</v>
      </c>
      <c r="B6" s="10" t="s">
        <v>45</v>
      </c>
      <c r="C6" s="10" t="s">
        <v>41</v>
      </c>
      <c r="D6" s="19" t="s">
        <v>46</v>
      </c>
      <c r="E6" s="11">
        <v>462.5311</v>
      </c>
      <c r="F6" s="20">
        <v>1.031174</v>
      </c>
      <c r="G6" s="11">
        <v>476.95</v>
      </c>
      <c r="H6" s="21">
        <v>364.1</v>
      </c>
      <c r="I6" s="11">
        <f>F6*H6</f>
        <v>375.4504534</v>
      </c>
      <c r="J6" s="11">
        <f>I6-G6</f>
        <v>-101.49954659999997</v>
      </c>
      <c r="K6" s="14">
        <f>IFERROR(J6/G6,0)</f>
        <v>-0.21280961652164793</v>
      </c>
      <c r="L6" s="12">
        <v>23</v>
      </c>
      <c r="M6" s="10" t="s">
        <v>43</v>
      </c>
      <c r="N6" s="13">
        <v>1.135451734784544</v>
      </c>
      <c r="O6" s="10" t="s">
        <v>44</v>
      </c>
      <c r="Q6" s="13">
        <v>1</v>
      </c>
    </row>
    <row r="7" spans="1:17">
      <c r="A7" s="10" t="s">
        <v>2</v>
      </c>
      <c r="B7" s="10" t="s">
        <v>47</v>
      </c>
      <c r="C7" s="10" t="s">
        <v>48</v>
      </c>
      <c r="D7" s="19" t="s">
        <v>49</v>
      </c>
      <c r="E7" s="11">
        <v>360.14</v>
      </c>
      <c r="F7" s="20">
        <v>1.321486</v>
      </c>
      <c r="G7" s="11">
        <v>475.92</v>
      </c>
      <c r="H7" s="21">
        <v>459.78</v>
      </c>
      <c r="I7" s="11">
        <f>F7*H7</f>
        <v>607.59283308</v>
      </c>
      <c r="J7" s="11">
        <f>I7-G7</f>
        <v>131.67283307999998</v>
      </c>
      <c r="K7" s="14">
        <f>IFERROR(J7/G7,0)</f>
        <v>0.2766700980837115</v>
      </c>
      <c r="L7" s="12">
        <v>22</v>
      </c>
      <c r="M7" s="10" t="s">
        <v>43</v>
      </c>
      <c r="N7" s="13">
        <v>1.098454348098604</v>
      </c>
      <c r="O7" s="10" t="s">
        <v>44</v>
      </c>
      <c r="Q7" s="13">
        <v>1</v>
      </c>
    </row>
    <row r="8" spans="1:17">
      <c r="A8" s="10" t="s">
        <v>3</v>
      </c>
      <c r="B8" s="10" t="s">
        <v>50</v>
      </c>
      <c r="C8" s="10" t="s">
        <v>48</v>
      </c>
      <c r="D8" s="19" t="s">
        <v>51</v>
      </c>
      <c r="E8" s="11">
        <v>380.9704</v>
      </c>
      <c r="F8" s="20">
        <v>1.252643</v>
      </c>
      <c r="G8" s="11">
        <v>477.22</v>
      </c>
      <c r="H8" s="21">
        <v>484.92</v>
      </c>
      <c r="I8" s="11">
        <f>F8*H8</f>
        <v>607.43164356</v>
      </c>
      <c r="J8" s="11">
        <f>I8-G8</f>
        <v>130.21164355999997</v>
      </c>
      <c r="K8" s="14">
        <f>IFERROR(J8/G8,0)</f>
        <v>0.2728545399606051</v>
      </c>
      <c r="L8" s="12">
        <v>21</v>
      </c>
      <c r="M8" s="10" t="s">
        <v>43</v>
      </c>
      <c r="N8" s="13">
        <v>0.9280120270881818</v>
      </c>
      <c r="O8" s="10" t="s">
        <v>44</v>
      </c>
      <c r="Q8" s="13">
        <v>1</v>
      </c>
    </row>
    <row r="9" spans="1:17">
      <c r="A9" s="10" t="s">
        <v>4</v>
      </c>
      <c r="B9" s="10" t="s">
        <v>52</v>
      </c>
      <c r="C9" s="10" t="s">
        <v>48</v>
      </c>
      <c r="D9" s="19" t="s">
        <v>53</v>
      </c>
      <c r="E9" s="11">
        <v>60.1501</v>
      </c>
      <c r="F9" s="20">
        <v>7.895088</v>
      </c>
      <c r="G9" s="11">
        <v>474.89</v>
      </c>
      <c r="H9" s="21">
        <v>61.41</v>
      </c>
      <c r="I9" s="11">
        <f>F9*H9</f>
        <v>484.83735408</v>
      </c>
      <c r="J9" s="11">
        <f>I9-G9</f>
        <v>9.947354080000025</v>
      </c>
      <c r="K9" s="14">
        <f>IFERROR(J9/G9,0)</f>
        <v>0.020946648866053245</v>
      </c>
      <c r="L9" s="12">
        <v>18</v>
      </c>
      <c r="M9" s="10" t="s">
        <v>43</v>
      </c>
      <c r="N9" s="13">
        <v>0.8840484909760108</v>
      </c>
      <c r="O9" s="10" t="s">
        <v>44</v>
      </c>
      <c r="Q9" s="13">
        <v>1</v>
      </c>
    </row>
    <row r="10" spans="1:17">
      <c r="A10" s="10" t="s">
        <v>5</v>
      </c>
      <c r="B10" s="10" t="s">
        <v>54</v>
      </c>
      <c r="C10" s="10" t="s">
        <v>48</v>
      </c>
      <c r="D10" s="19" t="s">
        <v>53</v>
      </c>
      <c r="E10" s="11">
        <v>251.9059</v>
      </c>
      <c r="F10" s="20">
        <v>1.885188</v>
      </c>
      <c r="G10" s="11">
        <v>474.89</v>
      </c>
      <c r="H10" s="21">
        <v>281.47</v>
      </c>
      <c r="I10" s="11">
        <f>F10*H10</f>
        <v>530.6238663600001</v>
      </c>
      <c r="J10" s="11">
        <f>I10-G10</f>
        <v>55.73386636000009</v>
      </c>
      <c r="K10" s="14">
        <f>IFERROR(J10/G10,0)</f>
        <v>0.11736163397839519</v>
      </c>
      <c r="L10" s="12">
        <v>18</v>
      </c>
      <c r="M10" s="10" t="s">
        <v>43</v>
      </c>
      <c r="N10" s="13">
        <v>0.8298272742812407</v>
      </c>
      <c r="O10" s="10" t="s">
        <v>44</v>
      </c>
      <c r="Q10" s="13">
        <v>1</v>
      </c>
    </row>
    <row r="11" spans="1:17">
      <c r="A11" s="10" t="s">
        <v>6</v>
      </c>
      <c r="B11" s="10" t="s">
        <v>55</v>
      </c>
      <c r="C11" s="10" t="s">
        <v>48</v>
      </c>
      <c r="D11" s="19" t="s">
        <v>53</v>
      </c>
      <c r="E11" s="11">
        <v>43.7018</v>
      </c>
      <c r="F11" s="20">
        <v>10.86659</v>
      </c>
      <c r="G11" s="11">
        <v>474.89</v>
      </c>
      <c r="H11" s="21">
        <v>47.37</v>
      </c>
      <c r="I11" s="11">
        <f>F11*H11</f>
        <v>514.7503683</v>
      </c>
      <c r="J11" s="11">
        <f>I11-G11</f>
        <v>39.860368300000005</v>
      </c>
      <c r="K11" s="14">
        <f>IFERROR(J11/G11,0)</f>
        <v>0.08393600265324602</v>
      </c>
      <c r="L11" s="12">
        <v>18</v>
      </c>
      <c r="M11" s="10" t="s">
        <v>43</v>
      </c>
      <c r="N11" s="13">
        <v>0.7019116395441239</v>
      </c>
      <c r="O11" s="10" t="s">
        <v>44</v>
      </c>
      <c r="Q11" s="13">
        <v>1</v>
      </c>
    </row>
    <row r="12" spans="1:17">
      <c r="A12" s="10" t="s">
        <v>7</v>
      </c>
      <c r="B12" s="10" t="s">
        <v>56</v>
      </c>
      <c r="C12" s="10" t="s">
        <v>41</v>
      </c>
      <c r="D12" s="19" t="s">
        <v>57</v>
      </c>
      <c r="E12" s="11">
        <v>211.3456</v>
      </c>
      <c r="F12" s="20">
        <v>2.301822</v>
      </c>
      <c r="G12" s="11">
        <v>486.48</v>
      </c>
      <c r="H12" s="21">
        <v>221.3</v>
      </c>
      <c r="I12" s="11">
        <f>F12*H12</f>
        <v>509.39320860000004</v>
      </c>
      <c r="J12" s="11">
        <f>I12-G12</f>
        <v>22.91320860000002</v>
      </c>
      <c r="K12" s="14">
        <f>IFERROR(J12/G12,0)</f>
        <v>0.047100001233349814</v>
      </c>
      <c r="L12" s="12">
        <v>14</v>
      </c>
      <c r="M12" s="10" t="s">
        <v>43</v>
      </c>
      <c r="N12" s="13">
        <v>0.6809721702367264</v>
      </c>
      <c r="O12" s="10" t="s">
        <v>44</v>
      </c>
      <c r="Q12" s="13">
        <v>1</v>
      </c>
    </row>
    <row r="13" spans="1:17">
      <c r="A13" s="10" t="s">
        <v>8</v>
      </c>
      <c r="B13" s="10" t="s">
        <v>58</v>
      </c>
      <c r="C13" s="10" t="s">
        <v>59</v>
      </c>
      <c r="D13" s="19" t="s">
        <v>57</v>
      </c>
      <c r="E13" s="11">
        <v>383.1915</v>
      </c>
      <c r="F13" s="20">
        <v>1.269548</v>
      </c>
      <c r="G13" s="11">
        <v>486.48</v>
      </c>
      <c r="H13" s="21">
        <v>377.82</v>
      </c>
      <c r="I13" s="11">
        <f>F13*H13</f>
        <v>479.6606253599999</v>
      </c>
      <c r="J13" s="11">
        <f>I13-G13</f>
        <v>-6.819374640000092</v>
      </c>
      <c r="K13" s="14">
        <f>IFERROR(J13/G13,0)</f>
        <v>-0.014017790330537929</v>
      </c>
      <c r="L13" s="12">
        <v>14</v>
      </c>
      <c r="M13" s="10" t="s">
        <v>43</v>
      </c>
      <c r="N13" s="13">
        <v>0.8197914702434592</v>
      </c>
      <c r="O13" s="10" t="s">
        <v>44</v>
      </c>
      <c r="Q13" s="13">
        <v>1</v>
      </c>
    </row>
    <row r="14" spans="1:17">
      <c r="A14" s="10" t="s">
        <v>9</v>
      </c>
      <c r="B14" s="10" t="s">
        <v>60</v>
      </c>
      <c r="C14" s="10" t="s">
        <v>61</v>
      </c>
      <c r="D14" s="19" t="s">
        <v>57</v>
      </c>
      <c r="E14" s="11">
        <v>339.2795</v>
      </c>
      <c r="F14" s="20">
        <v>1.433862</v>
      </c>
      <c r="G14" s="11">
        <v>486.48</v>
      </c>
      <c r="H14" s="21">
        <v>348.97</v>
      </c>
      <c r="I14" s="11">
        <f>F14*H14</f>
        <v>500.37482214000005</v>
      </c>
      <c r="J14" s="11">
        <f>I14-G14</f>
        <v>13.89482214000003</v>
      </c>
      <c r="K14" s="14">
        <f>IFERROR(J14/G14,0)</f>
        <v>0.02856195966946232</v>
      </c>
      <c r="L14" s="12">
        <v>14</v>
      </c>
      <c r="M14" s="10" t="s">
        <v>43</v>
      </c>
      <c r="N14" s="13">
        <v>0.776423257523575</v>
      </c>
      <c r="O14" s="10" t="s">
        <v>44</v>
      </c>
      <c r="Q14" s="13">
        <v>1</v>
      </c>
    </row>
    <row r="15" spans="1:17">
      <c r="A15" s="10" t="s">
        <v>10</v>
      </c>
      <c r="B15" s="10" t="s">
        <v>62</v>
      </c>
      <c r="C15" s="10" t="s">
        <v>63</v>
      </c>
      <c r="D15" s="19" t="s">
        <v>57</v>
      </c>
      <c r="E15" s="11">
        <v>67.3437</v>
      </c>
      <c r="F15" s="20">
        <v>7.223843</v>
      </c>
      <c r="G15" s="11">
        <v>486.48</v>
      </c>
      <c r="H15" s="21">
        <v>70.16</v>
      </c>
      <c r="I15" s="11">
        <f>F15*H15</f>
        <v>506.82482487999994</v>
      </c>
      <c r="J15" s="11">
        <f>I15-G15</f>
        <v>20.34482487999992</v>
      </c>
      <c r="K15" s="14">
        <f>IFERROR(J15/G15,0)</f>
        <v>0.04182047541522759</v>
      </c>
      <c r="L15" s="12">
        <v>14</v>
      </c>
      <c r="M15" s="10" t="s">
        <v>43</v>
      </c>
      <c r="N15" s="13">
        <v>0.7994794227521653</v>
      </c>
      <c r="O15" s="10" t="s">
        <v>44</v>
      </c>
      <c r="Q15" s="13">
        <v>1</v>
      </c>
    </row>
    <row r="16" spans="1:17">
      <c r="A16" s="10" t="s">
        <v>11</v>
      </c>
      <c r="B16" s="10" t="s">
        <v>64</v>
      </c>
      <c r="C16" s="10" t="s">
        <v>61</v>
      </c>
      <c r="D16" s="19" t="s">
        <v>65</v>
      </c>
      <c r="E16" s="11">
        <v>340.8704</v>
      </c>
      <c r="F16" s="20">
        <v>1.419895</v>
      </c>
      <c r="G16" s="11">
        <v>484</v>
      </c>
      <c r="H16" s="21">
        <v>347.64</v>
      </c>
      <c r="I16" s="11">
        <f>F16*H16</f>
        <v>493.61229779999996</v>
      </c>
      <c r="J16" s="11">
        <f>I16-G16</f>
        <v>9.612297799999965</v>
      </c>
      <c r="K16" s="14">
        <f>IFERROR(J16/G16,0)</f>
        <v>0.01986011942148753</v>
      </c>
      <c r="L16" s="12">
        <v>10</v>
      </c>
      <c r="M16" s="10" t="s">
        <v>43</v>
      </c>
      <c r="N16" s="13">
        <v>0.8410723709429708</v>
      </c>
      <c r="O16" s="10" t="s">
        <v>44</v>
      </c>
      <c r="Q16" s="13">
        <v>1</v>
      </c>
    </row>
    <row r="17" spans="1:17">
      <c r="A17" s="10" t="s">
        <v>12</v>
      </c>
      <c r="B17" s="10" t="s">
        <v>66</v>
      </c>
      <c r="C17" s="10" t="s">
        <v>59</v>
      </c>
      <c r="D17" s="19" t="s">
        <v>65</v>
      </c>
      <c r="E17" s="11">
        <v>228.7943</v>
      </c>
      <c r="F17" s="20">
        <v>2.115437</v>
      </c>
      <c r="G17" s="11">
        <v>484</v>
      </c>
      <c r="H17" s="21">
        <v>236.17</v>
      </c>
      <c r="I17" s="11">
        <f>F17*H17</f>
        <v>499.60275629</v>
      </c>
      <c r="J17" s="11">
        <f>I17-G17</f>
        <v>15.602756290000002</v>
      </c>
      <c r="K17" s="14">
        <f>IFERROR(J17/G17,0)</f>
        <v>0.032237099772727276</v>
      </c>
      <c r="L17" s="12">
        <v>10</v>
      </c>
      <c r="M17" s="10" t="s">
        <v>43</v>
      </c>
      <c r="N17" s="13">
        <v>0.6643531276938139</v>
      </c>
      <c r="O17" s="10" t="s">
        <v>44</v>
      </c>
      <c r="Q17" s="13">
        <v>1</v>
      </c>
    </row>
    <row r="18" spans="1:17">
      <c r="A18" s="10" t="s">
        <v>13</v>
      </c>
      <c r="B18" s="10" t="s">
        <v>67</v>
      </c>
      <c r="C18" s="10" t="s">
        <v>68</v>
      </c>
      <c r="D18" s="19" t="s">
        <v>65</v>
      </c>
      <c r="E18" s="11">
        <v>156.6783</v>
      </c>
      <c r="F18" s="20">
        <v>3.089132</v>
      </c>
      <c r="G18" s="11">
        <v>484</v>
      </c>
      <c r="H18" s="21">
        <v>155.31</v>
      </c>
      <c r="I18" s="11">
        <f>F18*H18</f>
        <v>479.77309092</v>
      </c>
      <c r="J18" s="11">
        <f>I18-G18</f>
        <v>-4.226909079999984</v>
      </c>
      <c r="K18" s="14">
        <f>IFERROR(J18/G18,0)</f>
        <v>-0.008733283223140464</v>
      </c>
      <c r="L18" s="12">
        <v>10</v>
      </c>
      <c r="M18" s="10" t="s">
        <v>43</v>
      </c>
      <c r="N18" s="13">
        <v>0.6369924288836575</v>
      </c>
      <c r="O18" s="10" t="s">
        <v>44</v>
      </c>
      <c r="Q18" s="13">
        <v>1</v>
      </c>
    </row>
    <row r="19" spans="1:17">
      <c r="A19" s="10" t="s">
        <v>14</v>
      </c>
      <c r="B19" s="10" t="s">
        <v>69</v>
      </c>
      <c r="C19" s="10" t="s">
        <v>63</v>
      </c>
      <c r="D19" s="19" t="s">
        <v>65</v>
      </c>
      <c r="E19" s="11">
        <v>123.3216</v>
      </c>
      <c r="F19" s="20">
        <v>3.924697</v>
      </c>
      <c r="G19" s="11">
        <v>484</v>
      </c>
      <c r="H19" s="21">
        <v>111.57</v>
      </c>
      <c r="I19" s="11">
        <f>F19*H19</f>
        <v>437.87844429</v>
      </c>
      <c r="J19" s="11">
        <f>I19-G19</f>
        <v>-46.121555709999996</v>
      </c>
      <c r="K19" s="14">
        <f>IFERROR(J19/G19,0)</f>
        <v>-0.0952924704752066</v>
      </c>
      <c r="L19" s="12">
        <v>10</v>
      </c>
      <c r="M19" s="10" t="s">
        <v>43</v>
      </c>
      <c r="N19" s="13">
        <v>0.662112373894027</v>
      </c>
      <c r="O19" s="10" t="s">
        <v>44</v>
      </c>
      <c r="Q19" s="13">
        <v>1</v>
      </c>
    </row>
    <row r="20" spans="1:17">
      <c r="A20" s="10" t="s">
        <v>15</v>
      </c>
      <c r="B20" s="10" t="s">
        <v>70</v>
      </c>
      <c r="C20" s="10" t="s">
        <v>71</v>
      </c>
      <c r="D20" s="19" t="s">
        <v>72</v>
      </c>
      <c r="E20" s="11">
        <v>251.7358</v>
      </c>
      <c r="F20" s="20">
        <v>1.93286</v>
      </c>
      <c r="G20" s="11">
        <v>486.57</v>
      </c>
      <c r="H20" s="21">
        <v>254.08</v>
      </c>
      <c r="I20" s="11">
        <f>F20*H20</f>
        <v>491.1010688</v>
      </c>
      <c r="J20" s="11">
        <f>I20-G20</f>
        <v>4.531068800000014</v>
      </c>
      <c r="K20" s="14">
        <f>IFERROR(J20/G20,0)</f>
        <v>0.00931226503894612</v>
      </c>
      <c r="L20" s="12">
        <v>8</v>
      </c>
      <c r="M20" s="10" t="s">
        <v>43</v>
      </c>
      <c r="N20" s="13">
        <v>0.6121263867209685</v>
      </c>
      <c r="O20" s="10" t="s">
        <v>44</v>
      </c>
      <c r="Q20" s="13">
        <v>1</v>
      </c>
    </row>
    <row r="21" spans="1:17">
      <c r="A21" s="10" t="s">
        <v>16</v>
      </c>
      <c r="B21" s="10" t="s">
        <v>73</v>
      </c>
      <c r="C21" s="10" t="s">
        <v>63</v>
      </c>
      <c r="D21" s="19" t="s">
        <v>72</v>
      </c>
      <c r="E21" s="11">
        <v>273.3566</v>
      </c>
      <c r="F21" s="20">
        <v>1.779983</v>
      </c>
      <c r="G21" s="11">
        <v>486.57</v>
      </c>
      <c r="H21" s="21">
        <v>271.76</v>
      </c>
      <c r="I21" s="11">
        <f>F21*H21</f>
        <v>483.72818008</v>
      </c>
      <c r="J21" s="11">
        <f>I21-G21</f>
        <v>-2.8418199199999776</v>
      </c>
      <c r="K21" s="14">
        <f>IFERROR(J21/G21,0)</f>
        <v>-0.005840516102513467</v>
      </c>
      <c r="L21" s="12">
        <v>8</v>
      </c>
      <c r="M21" s="10" t="s">
        <v>43</v>
      </c>
      <c r="N21" s="13">
        <v>0.6100566751620263</v>
      </c>
      <c r="O21" s="10" t="s">
        <v>44</v>
      </c>
      <c r="Q21" s="13">
        <v>1</v>
      </c>
    </row>
    <row r="22" spans="1:17">
      <c r="A22" s="10" t="s">
        <v>17</v>
      </c>
      <c r="B22" s="10" t="s">
        <v>74</v>
      </c>
      <c r="C22" s="10" t="s">
        <v>68</v>
      </c>
      <c r="D22" s="19" t="s">
        <v>75</v>
      </c>
      <c r="E22" s="11">
        <v>113.3066</v>
      </c>
      <c r="F22" s="20">
        <v>4.324196</v>
      </c>
      <c r="G22" s="11">
        <v>489.96</v>
      </c>
      <c r="H22" s="21">
        <v>121.76</v>
      </c>
      <c r="I22" s="11">
        <f>F22*H22</f>
        <v>526.5141049599999</v>
      </c>
      <c r="J22" s="11">
        <f>I22-G22</f>
        <v>36.55410495999996</v>
      </c>
      <c r="K22" s="14">
        <f>IFERROR(J22/G22,0)</f>
        <v>0.07460630451465418</v>
      </c>
      <c r="L22" s="12">
        <v>7</v>
      </c>
      <c r="M22" s="10" t="s">
        <v>43</v>
      </c>
      <c r="N22" s="13">
        <v>0.5689208109667999</v>
      </c>
      <c r="O22" s="10" t="s">
        <v>44</v>
      </c>
      <c r="Q22" s="13">
        <v>1</v>
      </c>
    </row>
    <row r="23" spans="1:17">
      <c r="A23" s="10" t="s">
        <v>18</v>
      </c>
      <c r="B23" s="10" t="s">
        <v>76</v>
      </c>
      <c r="C23" s="10" t="s">
        <v>63</v>
      </c>
      <c r="D23" s="19" t="s">
        <v>77</v>
      </c>
      <c r="E23" s="11">
        <v>224.6423</v>
      </c>
      <c r="F23" s="20">
        <v>1.64644</v>
      </c>
      <c r="G23" s="11">
        <v>369.86</v>
      </c>
      <c r="H23" s="21">
        <v>232.83</v>
      </c>
      <c r="I23" s="11">
        <f>F23*H23</f>
        <v>383.3406252</v>
      </c>
      <c r="J23" s="11">
        <f>I23-G23</f>
        <v>13.480625199999963</v>
      </c>
      <c r="K23" s="14">
        <f>IFERROR(J23/G23,0)</f>
        <v>0.03644791326447835</v>
      </c>
      <c r="L23" s="12">
        <v>6</v>
      </c>
      <c r="M23" s="10" t="s">
        <v>43</v>
      </c>
      <c r="N23" s="13">
        <v>0.5555859964967851</v>
      </c>
      <c r="O23" s="10" t="s">
        <v>44</v>
      </c>
      <c r="Q23" s="13">
        <v>1</v>
      </c>
    </row>
    <row r="24" spans="1:17">
      <c r="A24" s="10" t="s">
        <v>19</v>
      </c>
      <c r="B24" s="10" t="s">
        <v>78</v>
      </c>
      <c r="C24" s="10" t="s">
        <v>59</v>
      </c>
      <c r="D24" s="19" t="s">
        <v>79</v>
      </c>
      <c r="E24" s="11">
        <v>198.7093</v>
      </c>
      <c r="F24" s="20">
        <v>2.49475</v>
      </c>
      <c r="G24" s="11">
        <v>495.73</v>
      </c>
      <c r="H24" s="21">
        <v>194.35</v>
      </c>
      <c r="I24" s="11">
        <f>F24*H24</f>
        <v>484.85466249999996</v>
      </c>
      <c r="J24" s="11">
        <f>I24-G24</f>
        <v>-10.875337500000057</v>
      </c>
      <c r="K24" s="14">
        <f>IFERROR(J24/G24,0)</f>
        <v>-0.02193802573981816</v>
      </c>
      <c r="L24" s="12">
        <v>3</v>
      </c>
      <c r="M24" s="10" t="s">
        <v>43</v>
      </c>
      <c r="N24" s="13">
        <v>0.4462074139990458</v>
      </c>
      <c r="O24" s="10" t="s">
        <v>44</v>
      </c>
      <c r="Q24" s="13">
        <v>1</v>
      </c>
    </row>
    <row r="25" spans="1:17">
      <c r="A25" s="10" t="s">
        <v>20</v>
      </c>
      <c r="B25" s="10" t="s">
        <v>80</v>
      </c>
      <c r="C25" s="10" t="s">
        <v>41</v>
      </c>
      <c r="D25" s="19" t="s">
        <v>81</v>
      </c>
      <c r="E25" s="11">
        <v>72.88639999999999</v>
      </c>
      <c r="F25" s="20">
        <v>6.825963</v>
      </c>
      <c r="G25" s="11">
        <v>497.52</v>
      </c>
      <c r="H25" s="21">
        <v>70.33</v>
      </c>
      <c r="I25" s="11">
        <f>F25*H25</f>
        <v>480.06997779</v>
      </c>
      <c r="J25" s="11">
        <f>I25-G25</f>
        <v>-17.450022209999986</v>
      </c>
      <c r="K25" s="14">
        <f>IFERROR(J25/G25,0)</f>
        <v>-0.035074011517124914</v>
      </c>
      <c r="L25" s="12">
        <v>2</v>
      </c>
      <c r="M25" s="10" t="s">
        <v>43</v>
      </c>
      <c r="N25" s="13">
        <v>1.053611276486443</v>
      </c>
      <c r="O25" s="10" t="s">
        <v>44</v>
      </c>
      <c r="Q25" s="13">
        <v>1</v>
      </c>
    </row>
    <row r="26" spans="1:17">
      <c r="F26" s="16" t="s">
        <v>82</v>
      </c>
      <c r="G26" s="11">
        <f>SUM(G5:G25)</f>
        <v>10040.439999999999</v>
      </c>
      <c r="I26" s="11">
        <f>SUM(I5:I25)</f>
        <v>10335.560000000001</v>
      </c>
      <c r="J26" s="11">
        <f>SUM(J5:J25)</f>
        <v>295.11999999999995</v>
      </c>
      <c r="K26" s="14">
        <f>IFERROR(J26/G26,0)</f>
        <v>0</v>
      </c>
    </row>
  </sheetData>
  <autoFilter ref="A4:Q25"/>
  <conditionalFormatting sqref="K5:K25">
    <cfRule type="colorScale" priority="1">
      <colorScale>
        <cfvo type="min" val="0"/>
        <cfvo type="percentile" val="50"/>
        <cfvo type="max" val="0"/>
        <color rgb="FFF8B4B4"/>
        <color rgb="FFFFFFFF"/>
        <color rgb="FFA7E8C0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'_данные'!B21:BI21</xm:f>
              <xm:sqref>P25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'_данные'!B20:BI20</xm:f>
              <xm:sqref>P24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'_данные'!B19:BI19</xm:f>
              <xm:sqref>P23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'_данные'!B18:BI18</xm:f>
              <xm:sqref>P22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'_данные'!B17:BI17</xm:f>
              <xm:sqref>P21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'_данные'!B16:BI16</xm:f>
              <xm:sqref>P20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'_данные'!B15:BI15</xm:f>
              <xm:sqref>P19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'_данные'!B14:BI14</xm:f>
              <xm:sqref>P18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'_данные'!B13:BI13</xm:f>
              <xm:sqref>P17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'_данные'!B12:BI12</xm:f>
              <xm:sqref>P16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'_данные'!B11:BI11</xm:f>
              <xm:sqref>P15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'_данные'!B10:BI10</xm:f>
              <xm:sqref>P14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'_данные'!B9:BI9</xm:f>
              <xm:sqref>P13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'_данные'!B8:BI8</xm:f>
              <xm:sqref>P12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'_данные'!B7:BI7</xm:f>
              <xm:sqref>P11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'_данные'!B6:BI6</xm:f>
              <xm:sqref>P10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'_данные'!B5:BI5</xm:f>
              <xm:sqref>P9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'_данные'!B4:BI4</xm:f>
              <xm:sqref>P8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'_данные'!B3:BI3</xm:f>
              <xm:sqref>P7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'_данные'!B2:BI2</xm:f>
              <xm:sqref>P6</xm:sqref>
            </x14:sparkline>
          </x14:sparklines>
        </x14:sparklineGroup>
        <x14:sparklineGroup displayEmptyCellsAs="gap" high="1" low="1">
          <x14:colorSeries rgb="FF0B5FF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'_данные'!B1:BI1</xm:f>
              <xm:sqref>P5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9.7109375" customWidth="1"/>
    <col min="3" max="3" width="22.7109375" customWidth="1"/>
    <col min="4" max="4" width="12.7109375" customWidth="1"/>
    <col min="5" max="5" width="11.7109375" customWidth="1"/>
    <col min="6" max="6" width="12.7109375" customWidth="1"/>
    <col min="7" max="7" width="11.7109375" customWidth="1"/>
    <col min="8" max="8" width="10.7109375" customWidth="1"/>
    <col min="9" max="11" width="11.7109375" customWidth="1"/>
    <col min="12" max="12" width="9.7109375" customWidth="1"/>
    <col min="13" max="13" width="8.7109375" customWidth="1"/>
    <col min="14" max="14" width="11.7109375" customWidth="1"/>
    <col min="15" max="15" width="26.7109375" customWidth="1"/>
  </cols>
  <sheetData>
    <row r="1" spans="1:15">
      <c r="A1" s="1" t="s">
        <v>83</v>
      </c>
    </row>
    <row r="2" spans="1:15">
      <c r="A2" s="2" t="s">
        <v>84</v>
      </c>
    </row>
    <row r="4" spans="1:15" ht="30" customHeight="1">
      <c r="A4" s="18" t="s">
        <v>85</v>
      </c>
      <c r="B4" s="18" t="s">
        <v>23</v>
      </c>
      <c r="C4" s="18" t="s">
        <v>25</v>
      </c>
      <c r="D4" s="18" t="s">
        <v>86</v>
      </c>
      <c r="E4" s="18" t="s">
        <v>27</v>
      </c>
      <c r="F4" s="18" t="s">
        <v>35</v>
      </c>
      <c r="G4" s="18" t="s">
        <v>87</v>
      </c>
      <c r="H4" s="18" t="s">
        <v>28</v>
      </c>
      <c r="I4" s="18" t="s">
        <v>29</v>
      </c>
      <c r="J4" s="18" t="s">
        <v>88</v>
      </c>
      <c r="K4" s="18" t="s">
        <v>32</v>
      </c>
      <c r="L4" s="18" t="s">
        <v>33</v>
      </c>
      <c r="M4" s="18" t="s">
        <v>89</v>
      </c>
      <c r="N4" s="18" t="s">
        <v>36</v>
      </c>
      <c r="O4" s="18" t="s">
        <v>90</v>
      </c>
    </row>
    <row r="5" spans="1:15">
      <c r="A5" s="22">
        <v>2</v>
      </c>
      <c r="B5" s="23" t="s">
        <v>91</v>
      </c>
      <c r="C5" s="23" t="s">
        <v>41</v>
      </c>
      <c r="D5" s="22" t="s">
        <v>92</v>
      </c>
      <c r="E5" s="11">
        <v>926.2029</v>
      </c>
      <c r="F5" s="22" t="s">
        <v>79</v>
      </c>
      <c r="G5" s="11">
        <v>1053.643</v>
      </c>
      <c r="H5" s="20">
        <v>0.5145960000000001</v>
      </c>
      <c r="I5" s="11">
        <v>476.62</v>
      </c>
      <c r="J5" s="11">
        <v>542.2</v>
      </c>
      <c r="K5" s="11">
        <f>J5-I5</f>
        <v>65.58000000000004</v>
      </c>
      <c r="L5" s="14">
        <f>IFERROR(K5/I5,0)</f>
        <v>0.137595</v>
      </c>
      <c r="M5" s="12">
        <v>22</v>
      </c>
      <c r="N5" s="13">
        <v>1.809956883354321</v>
      </c>
      <c r="O5" s="23" t="s">
        <v>93</v>
      </c>
    </row>
    <row r="6" spans="1:15">
      <c r="A6" s="24">
        <v>1</v>
      </c>
      <c r="B6" s="25" t="s">
        <v>94</v>
      </c>
      <c r="C6" s="25" t="s">
        <v>41</v>
      </c>
      <c r="D6" s="24" t="s">
        <v>95</v>
      </c>
      <c r="E6" s="11">
        <v>443.1115</v>
      </c>
      <c r="F6" s="24" t="s">
        <v>96</v>
      </c>
      <c r="G6" s="11">
        <v>568.5155999999999</v>
      </c>
      <c r="H6" s="20">
        <v>1.074651</v>
      </c>
      <c r="I6" s="11">
        <v>476.19</v>
      </c>
      <c r="J6" s="11">
        <v>610.96</v>
      </c>
      <c r="K6" s="11">
        <f>J6-I6</f>
        <v>134.77000000000004</v>
      </c>
      <c r="L6" s="14">
        <f>IFERROR(K6/I6,0)</f>
        <v>0.283009</v>
      </c>
      <c r="M6" s="12">
        <v>22</v>
      </c>
      <c r="N6" s="13">
        <v>2.927623067210654</v>
      </c>
      <c r="O6" s="25" t="s">
        <v>93</v>
      </c>
    </row>
  </sheetData>
  <autoFilter ref="A4:O6"/>
  <conditionalFormatting sqref="L5:L6">
    <cfRule type="colorScale" priority="1">
      <colorScale>
        <cfvo type="min" val="0"/>
        <cfvo type="percentile" val="50"/>
        <cfvo type="max" val="0"/>
        <color rgb="FFF8B4B4"/>
        <color rgb="FFFFFFFF"/>
        <color rgb="FFA7E8C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3" width="18.7109375" customWidth="1"/>
    <col min="4" max="4" width="14.7109375" customWidth="1"/>
    <col min="5" max="5" width="10.7109375" customWidth="1"/>
    <col min="6" max="6" width="14.7109375" customWidth="1"/>
  </cols>
  <sheetData>
    <row r="1" spans="1:6">
      <c r="A1" s="1" t="s">
        <v>97</v>
      </c>
    </row>
    <row r="2" spans="1:6">
      <c r="A2" s="2" t="s">
        <v>98</v>
      </c>
    </row>
    <row r="4" spans="1:6" ht="30" customHeight="1">
      <c r="A4" s="18" t="s">
        <v>99</v>
      </c>
      <c r="B4" s="18" t="s">
        <v>100</v>
      </c>
      <c r="C4" s="18" t="s">
        <v>101</v>
      </c>
      <c r="D4" s="18" t="s">
        <v>102</v>
      </c>
      <c r="E4" s="18" t="s">
        <v>103</v>
      </c>
      <c r="F4" s="18" t="s">
        <v>104</v>
      </c>
    </row>
    <row r="5" spans="1:6">
      <c r="A5" s="19" t="s">
        <v>105</v>
      </c>
      <c r="B5" s="11">
        <v>10000</v>
      </c>
      <c r="C5" s="11">
        <v>0</v>
      </c>
      <c r="D5" s="11">
        <f>B5+C5</f>
        <v>10000.0</v>
      </c>
      <c r="E5" s="12">
        <v>0</v>
      </c>
      <c r="F5" s="11">
        <v>10000</v>
      </c>
    </row>
    <row r="6" spans="1:6">
      <c r="A6" s="19" t="s">
        <v>95</v>
      </c>
      <c r="B6" s="11">
        <v>9523.809999999999</v>
      </c>
      <c r="C6" s="11">
        <v>485.2</v>
      </c>
      <c r="D6" s="11">
        <f>B6+C6</f>
        <v>10009.01</v>
      </c>
      <c r="E6" s="12">
        <v>1</v>
      </c>
      <c r="F6" s="11">
        <v>10031.96</v>
      </c>
    </row>
    <row r="7" spans="1:6">
      <c r="A7" s="19" t="s">
        <v>92</v>
      </c>
      <c r="B7" s="11">
        <v>9047.190000000001</v>
      </c>
      <c r="C7" s="11">
        <v>981.34</v>
      </c>
      <c r="D7" s="11">
        <f>B7+C7</f>
        <v>10028.53</v>
      </c>
      <c r="E7" s="12">
        <v>2</v>
      </c>
      <c r="F7" s="11">
        <v>10034.19</v>
      </c>
    </row>
    <row r="8" spans="1:6">
      <c r="A8" s="19" t="s">
        <v>42</v>
      </c>
      <c r="B8" s="11">
        <v>8569.639999999999</v>
      </c>
      <c r="C8" s="11">
        <v>1446.31</v>
      </c>
      <c r="D8" s="11">
        <f>B8+C8</f>
        <v>10015.949999999999</v>
      </c>
      <c r="E8" s="12">
        <v>3</v>
      </c>
      <c r="F8" s="11">
        <v>10099.94</v>
      </c>
    </row>
    <row r="9" spans="1:6">
      <c r="A9" s="19" t="s">
        <v>46</v>
      </c>
      <c r="B9" s="11">
        <v>8092.69</v>
      </c>
      <c r="C9" s="11">
        <v>1901.58</v>
      </c>
      <c r="D9" s="11">
        <f>B9+C9</f>
        <v>9994.27</v>
      </c>
      <c r="E9" s="12">
        <v>4</v>
      </c>
      <c r="F9" s="11">
        <v>10077.02</v>
      </c>
    </row>
    <row r="10" spans="1:6">
      <c r="A10" s="19" t="s">
        <v>49</v>
      </c>
      <c r="B10" s="11">
        <v>7616.77</v>
      </c>
      <c r="C10" s="11">
        <v>2404.95</v>
      </c>
      <c r="D10" s="11">
        <f>B10+C10</f>
        <v>10021.720000000001</v>
      </c>
      <c r="E10" s="12">
        <v>5</v>
      </c>
      <c r="F10" s="11">
        <v>10046.89</v>
      </c>
    </row>
    <row r="11" spans="1:6">
      <c r="A11" s="19" t="s">
        <v>51</v>
      </c>
      <c r="B11" s="11">
        <v>7139.55</v>
      </c>
      <c r="C11" s="11">
        <v>2833.12</v>
      </c>
      <c r="D11" s="11">
        <f>B11+C11</f>
        <v>9972.67</v>
      </c>
      <c r="E11" s="12">
        <v>6</v>
      </c>
      <c r="F11" s="11">
        <v>9977.860000000001</v>
      </c>
    </row>
    <row r="12" spans="1:6">
      <c r="A12" s="19" t="s">
        <v>106</v>
      </c>
      <c r="B12" s="11">
        <v>7139.55</v>
      </c>
      <c r="C12" s="11">
        <v>2833.12</v>
      </c>
      <c r="D12" s="11">
        <f>B12+C12</f>
        <v>9972.67</v>
      </c>
      <c r="E12" s="12">
        <v>6</v>
      </c>
      <c r="F12" s="11"/>
    </row>
    <row r="13" spans="1:6">
      <c r="A13" s="19" t="s">
        <v>107</v>
      </c>
      <c r="B13" s="11">
        <v>7139.55</v>
      </c>
      <c r="C13" s="11">
        <v>2833.12</v>
      </c>
      <c r="D13" s="11">
        <f>B13+C13</f>
        <v>9972.67</v>
      </c>
      <c r="E13" s="12">
        <v>6</v>
      </c>
      <c r="F13" s="11"/>
    </row>
    <row r="14" spans="1:6">
      <c r="A14" s="19" t="s">
        <v>53</v>
      </c>
      <c r="B14" s="11">
        <v>5714.88</v>
      </c>
      <c r="C14" s="11">
        <v>4501.17</v>
      </c>
      <c r="D14" s="11">
        <f>B14+C14</f>
        <v>10216.05</v>
      </c>
      <c r="E14" s="12">
        <v>9</v>
      </c>
      <c r="F14" s="11">
        <v>10088.02</v>
      </c>
    </row>
    <row r="15" spans="1:6">
      <c r="A15" s="19" t="s">
        <v>108</v>
      </c>
      <c r="B15" s="11">
        <v>5714.88</v>
      </c>
      <c r="C15" s="11">
        <v>4501.17</v>
      </c>
      <c r="D15" s="11">
        <f>B15+C15</f>
        <v>10216.05</v>
      </c>
      <c r="E15" s="12">
        <v>9</v>
      </c>
      <c r="F15" s="11"/>
    </row>
    <row r="16" spans="1:6">
      <c r="A16" s="19" t="s">
        <v>109</v>
      </c>
      <c r="B16" s="11">
        <v>5714.88</v>
      </c>
      <c r="C16" s="11">
        <v>4501.17</v>
      </c>
      <c r="D16" s="11">
        <f>B16+C16</f>
        <v>10216.05</v>
      </c>
      <c r="E16" s="12">
        <v>9</v>
      </c>
      <c r="F16" s="11"/>
    </row>
    <row r="17" spans="1:6">
      <c r="A17" s="19" t="s">
        <v>110</v>
      </c>
      <c r="B17" s="11">
        <v>5714.88</v>
      </c>
      <c r="C17" s="11">
        <v>4501.17</v>
      </c>
      <c r="D17" s="11">
        <f>B17+C17</f>
        <v>10216.05</v>
      </c>
      <c r="E17" s="12">
        <v>9</v>
      </c>
      <c r="F17" s="11"/>
    </row>
    <row r="18" spans="1:6">
      <c r="A18" s="19" t="s">
        <v>57</v>
      </c>
      <c r="B18" s="11">
        <v>3768.96</v>
      </c>
      <c r="C18" s="11">
        <v>6395.02</v>
      </c>
      <c r="D18" s="11">
        <f>B18+C18</f>
        <v>10163.98</v>
      </c>
      <c r="E18" s="12">
        <v>13</v>
      </c>
      <c r="F18" s="11">
        <v>9966.08</v>
      </c>
    </row>
    <row r="19" spans="1:6">
      <c r="A19" s="19" t="s">
        <v>111</v>
      </c>
      <c r="B19" s="11">
        <v>3768.96</v>
      </c>
      <c r="C19" s="11">
        <v>6395.02</v>
      </c>
      <c r="D19" s="11">
        <f>B19+C19</f>
        <v>10163.98</v>
      </c>
      <c r="E19" s="12">
        <v>13</v>
      </c>
      <c r="F19" s="11"/>
    </row>
    <row r="20" spans="1:6">
      <c r="A20" s="19" t="s">
        <v>112</v>
      </c>
      <c r="B20" s="11">
        <v>3768.96</v>
      </c>
      <c r="C20" s="11">
        <v>6395.02</v>
      </c>
      <c r="D20" s="11">
        <f>B20+C20</f>
        <v>10163.98</v>
      </c>
      <c r="E20" s="12">
        <v>13</v>
      </c>
      <c r="F20" s="11"/>
    </row>
    <row r="21" spans="1:6">
      <c r="A21" s="19" t="s">
        <v>113</v>
      </c>
      <c r="B21" s="11">
        <v>3768.96</v>
      </c>
      <c r="C21" s="11">
        <v>6395.02</v>
      </c>
      <c r="D21" s="11">
        <f>B21+C21</f>
        <v>10163.98</v>
      </c>
      <c r="E21" s="12">
        <v>13</v>
      </c>
      <c r="F21" s="11"/>
    </row>
    <row r="22" spans="1:6">
      <c r="A22" s="19" t="s">
        <v>65</v>
      </c>
      <c r="B22" s="11">
        <v>1832.96</v>
      </c>
      <c r="C22" s="11">
        <v>8384.969999999999</v>
      </c>
      <c r="D22" s="11">
        <f>B22+C22</f>
        <v>10217.93</v>
      </c>
      <c r="E22" s="12">
        <v>17</v>
      </c>
      <c r="F22" s="11">
        <v>10059.63</v>
      </c>
    </row>
    <row r="23" spans="1:6">
      <c r="A23" s="19" t="s">
        <v>114</v>
      </c>
      <c r="B23" s="11">
        <v>1832.96</v>
      </c>
      <c r="C23" s="11">
        <v>8384.969999999999</v>
      </c>
      <c r="D23" s="11">
        <f>B23+C23</f>
        <v>10217.93</v>
      </c>
      <c r="E23" s="12">
        <v>17</v>
      </c>
      <c r="F23" s="11"/>
    </row>
    <row r="24" spans="1:6">
      <c r="A24" s="19" t="s">
        <v>72</v>
      </c>
      <c r="B24" s="11">
        <v>859.8200000000001</v>
      </c>
      <c r="C24" s="11">
        <v>9429.299999999999</v>
      </c>
      <c r="D24" s="11">
        <f>B24+C24</f>
        <v>10289.119999999999</v>
      </c>
      <c r="E24" s="12">
        <v>19</v>
      </c>
      <c r="F24" s="11">
        <v>10031.66</v>
      </c>
    </row>
    <row r="25" spans="1:6">
      <c r="A25" s="19" t="s">
        <v>75</v>
      </c>
      <c r="B25" s="11">
        <v>369.86</v>
      </c>
      <c r="C25" s="11">
        <v>10015.19</v>
      </c>
      <c r="D25" s="11">
        <f>B25+C25</f>
        <v>10385.050000000001</v>
      </c>
      <c r="E25" s="12">
        <v>20</v>
      </c>
      <c r="F25" s="11">
        <v>10174</v>
      </c>
    </row>
    <row r="26" spans="1:6">
      <c r="A26" s="19" t="s">
        <v>77</v>
      </c>
      <c r="B26" s="11">
        <v>0</v>
      </c>
      <c r="C26" s="11">
        <v>10342.5</v>
      </c>
      <c r="D26" s="11">
        <f>B26+C26</f>
        <v>10342.5</v>
      </c>
      <c r="E26" s="12">
        <v>21</v>
      </c>
      <c r="F26" s="11">
        <v>10229.93</v>
      </c>
    </row>
    <row r="27" spans="1:6">
      <c r="A27" s="19" t="s">
        <v>115</v>
      </c>
      <c r="B27" s="11">
        <v>0</v>
      </c>
      <c r="C27" s="11">
        <v>10386.09</v>
      </c>
      <c r="D27" s="11">
        <f>B27+C27</f>
        <v>10386.09</v>
      </c>
      <c r="E27" s="12">
        <v>21</v>
      </c>
      <c r="F27" s="11">
        <v>10205.38</v>
      </c>
    </row>
    <row r="28" spans="1:6">
      <c r="A28" s="19" t="s">
        <v>96</v>
      </c>
      <c r="B28" s="11">
        <v>610.96</v>
      </c>
      <c r="C28" s="11">
        <v>9799.469999999999</v>
      </c>
      <c r="D28" s="11">
        <f>B28+C28</f>
        <v>10410.43</v>
      </c>
      <c r="E28" s="12">
        <v>20</v>
      </c>
      <c r="F28" s="11">
        <v>10136.05</v>
      </c>
    </row>
    <row r="29" spans="1:6">
      <c r="A29" s="19" t="s">
        <v>79</v>
      </c>
      <c r="B29" s="11">
        <v>657.4299999999999</v>
      </c>
      <c r="C29" s="11">
        <v>9790.58</v>
      </c>
      <c r="D29" s="11">
        <f>B29+C29</f>
        <v>10448.01</v>
      </c>
      <c r="E29" s="12">
        <v>20</v>
      </c>
      <c r="F29" s="11">
        <v>10223.11</v>
      </c>
    </row>
    <row r="30" spans="1:6">
      <c r="A30" s="19" t="s">
        <v>81</v>
      </c>
      <c r="B30" s="11">
        <v>159.91</v>
      </c>
      <c r="C30" s="11">
        <v>10274.38</v>
      </c>
      <c r="D30" s="11">
        <f>B30+C30</f>
        <v>10434.289999999999</v>
      </c>
      <c r="E30" s="12">
        <v>21</v>
      </c>
      <c r="F30" s="11">
        <v>10216.93</v>
      </c>
    </row>
    <row r="31" spans="1:6">
      <c r="A31" s="19" t="s">
        <v>116</v>
      </c>
      <c r="B31" s="11">
        <v>159.91</v>
      </c>
      <c r="C31" s="11">
        <v>10335.56</v>
      </c>
      <c r="D31" s="11">
        <f>B31+C31</f>
        <v>10495.47</v>
      </c>
      <c r="E31" s="12">
        <v>21</v>
      </c>
      <c r="F31" s="11">
        <v>10105.32</v>
      </c>
    </row>
    <row r="32" spans="1:6">
      <c r="A32" s="19" t="s">
        <v>117</v>
      </c>
      <c r="B32" s="11">
        <v>159.91</v>
      </c>
      <c r="C32" s="11">
        <v>10335.56</v>
      </c>
      <c r="D32" s="11">
        <f>B32+C32</f>
        <v>10495.47</v>
      </c>
      <c r="E32" s="12">
        <v>21</v>
      </c>
      <c r="F32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5.7109375" customWidth="1"/>
    <col min="2" max="2" width="9.7109375" customWidth="1"/>
    <col min="3" max="3" width="24.7109375" customWidth="1"/>
    <col min="4" max="4" width="22.7109375" customWidth="1"/>
    <col min="5" max="5" width="10.7109375" customWidth="1"/>
    <col min="6" max="6" width="11.7109375" customWidth="1"/>
    <col min="7" max="13" width="12.7109375" customWidth="1"/>
    <col min="14" max="16" width="9.7109375" customWidth="1"/>
    <col min="17" max="17" width="13.7109375" customWidth="1"/>
    <col min="18" max="18" width="12.7109375" customWidth="1"/>
    <col min="19" max="19" width="8.7109375" customWidth="1"/>
    <col min="20" max="20" width="24.7109375" customWidth="1"/>
  </cols>
  <sheetData>
    <row r="1" spans="1:20" x14ac:dyDescent="0.25">
      <c r="A1" s="1" t="s">
        <v>118</v>
      </c>
    </row>
    <row r="2" spans="1:20" x14ac:dyDescent="0.25">
      <c r="A2" s="2" t="s">
        <v>119</v>
      </c>
    </row>
    <row r="4" spans="1:20" ht="30" customHeight="1" x14ac:dyDescent="0.25">
      <c r="A4" s="18" t="s">
        <v>85</v>
      </c>
      <c r="B4" s="18" t="s">
        <v>23</v>
      </c>
      <c r="C4" s="18" t="s">
        <v>24</v>
      </c>
      <c r="D4" s="18" t="s">
        <v>25</v>
      </c>
      <c r="E4" s="18" t="s">
        <v>120</v>
      </c>
      <c r="F4" s="18" t="s">
        <v>121</v>
      </c>
      <c r="G4" s="18" t="s">
        <v>122</v>
      </c>
      <c r="H4" s="18" t="s">
        <v>123</v>
      </c>
      <c r="I4" s="18" t="s">
        <v>124</v>
      </c>
      <c r="J4" s="18" t="s">
        <v>125</v>
      </c>
      <c r="K4" s="18" t="s">
        <v>126</v>
      </c>
      <c r="L4" s="18" t="s">
        <v>127</v>
      </c>
      <c r="M4" s="18" t="s">
        <v>128</v>
      </c>
      <c r="N4" s="18" t="s">
        <v>129</v>
      </c>
      <c r="O4" s="18" t="s">
        <v>130</v>
      </c>
      <c r="P4" s="18" t="s">
        <v>131</v>
      </c>
      <c r="Q4" s="18" t="s">
        <v>132</v>
      </c>
      <c r="R4" s="18" t="s">
        <v>133</v>
      </c>
      <c r="S4" s="18" t="s">
        <v>134</v>
      </c>
      <c r="T4" s="18" t="s">
        <v>135</v>
      </c>
    </row>
    <row r="5" spans="1:20" x14ac:dyDescent="0.25">
      <c r="A5" s="12">
        <v>1</v>
      </c>
      <c r="B5" s="10" t="s">
        <v>3</v>
      </c>
      <c r="C5" s="10" t="s">
        <v>50</v>
      </c>
      <c r="D5" s="10" t="s">
        <v>48</v>
      </c>
      <c r="E5" s="11">
        <v>484.9200134277344</v>
      </c>
      <c r="F5" s="20">
        <v>1.143604366996855</v>
      </c>
      <c r="G5" s="13">
        <v>0.5120832578157225</v>
      </c>
      <c r="H5" s="13">
        <v>-0.5717172904210392</v>
      </c>
      <c r="I5" s="13">
        <v>2.358223271893585</v>
      </c>
      <c r="J5" s="13">
        <v>2.785637453087448</v>
      </c>
      <c r="K5" s="13">
        <v>0.8322577472718413</v>
      </c>
      <c r="L5" s="13">
        <v>-0.1279325713710688</v>
      </c>
      <c r="M5" s="13">
        <v>-0.2600548931069835</v>
      </c>
      <c r="N5" s="13">
        <v>15.755887</v>
      </c>
      <c r="O5" s="13">
        <v>6.750185</v>
      </c>
      <c r="P5" s="15">
        <v>0.42099</v>
      </c>
      <c r="Q5" s="15">
        <v>0.537</v>
      </c>
      <c r="R5" s="15">
        <v>1.188510822240728</v>
      </c>
      <c r="S5" s="12">
        <v>80.00121278466597</v>
      </c>
      <c r="T5" s="10" t="s">
        <v>136</v>
      </c>
    </row>
    <row r="6" spans="1:20" x14ac:dyDescent="0.25">
      <c r="A6" s="12">
        <v>2</v>
      </c>
      <c r="B6" s="10" t="s">
        <v>2</v>
      </c>
      <c r="C6" s="10" t="s">
        <v>47</v>
      </c>
      <c r="D6" s="10" t="s">
        <v>48</v>
      </c>
      <c r="E6" s="11">
        <v>459.7799987792969</v>
      </c>
      <c r="F6" s="20">
        <v>1.134211724033697</v>
      </c>
      <c r="G6" s="13">
        <v>0.5257662583602529</v>
      </c>
      <c r="H6" s="13">
        <v>-0.6796095082639541</v>
      </c>
      <c r="I6" s="13">
        <v>2.788833462425317</v>
      </c>
      <c r="J6" s="13">
        <v>2.755020669378902</v>
      </c>
      <c r="K6" s="13">
        <v>0.6587310680489812</v>
      </c>
      <c r="L6" s="13">
        <v>0.02707969585094485</v>
      </c>
      <c r="M6" s="13">
        <v>-0.4718842265256571</v>
      </c>
      <c r="N6" s="13">
        <v>18.08045</v>
      </c>
      <c r="O6" s="13">
        <v>4.9953933</v>
      </c>
      <c r="P6" s="15">
        <v>0.27637</v>
      </c>
      <c r="Q6" s="15">
        <v>0.517</v>
      </c>
      <c r="R6" s="15">
        <v>0.9734034513047376</v>
      </c>
      <c r="S6" s="12">
        <v>76.52079183018837</v>
      </c>
      <c r="T6" s="10" t="s">
        <v>136</v>
      </c>
    </row>
    <row r="7" spans="1:20" x14ac:dyDescent="0.25">
      <c r="A7" s="12">
        <v>3</v>
      </c>
      <c r="B7" s="10" t="s">
        <v>5</v>
      </c>
      <c r="C7" s="10" t="s">
        <v>54</v>
      </c>
      <c r="D7" s="10" t="s">
        <v>48</v>
      </c>
      <c r="E7" s="11">
        <v>297.2900085449219</v>
      </c>
      <c r="F7" s="20">
        <v>1.008427519545958</v>
      </c>
      <c r="G7" s="13">
        <v>0.4033582074212857</v>
      </c>
      <c r="H7" s="13">
        <v>-0.7868687898686613</v>
      </c>
      <c r="I7" s="13">
        <v>2.328125318139155</v>
      </c>
      <c r="J7" s="13">
        <v>2.525506257180785</v>
      </c>
      <c r="K7" s="13">
        <v>0.7449588314899703</v>
      </c>
      <c r="L7" s="13">
        <v>0.3505139366089186</v>
      </c>
      <c r="M7" s="13">
        <v>-0.4896032044296331</v>
      </c>
      <c r="N7" s="13">
        <v>15.896</v>
      </c>
      <c r="O7" s="13">
        <v>3.5231388</v>
      </c>
      <c r="P7" s="15">
        <v>0.23452999</v>
      </c>
      <c r="Q7" s="15">
        <v>0.531</v>
      </c>
      <c r="R7" s="15">
        <v>0.8647031541042864</v>
      </c>
      <c r="S7" s="12">
        <v>79.03573507405349</v>
      </c>
      <c r="T7" s="10" t="s">
        <v>136</v>
      </c>
    </row>
    <row r="8" spans="1:20" x14ac:dyDescent="0.25">
      <c r="A8" s="12">
        <v>4</v>
      </c>
      <c r="B8" s="10" t="s">
        <v>10</v>
      </c>
      <c r="C8" s="10" t="s">
        <v>62</v>
      </c>
      <c r="D8" s="10" t="s">
        <v>63</v>
      </c>
      <c r="E8" s="11">
        <v>70.16000366210938</v>
      </c>
      <c r="F8" s="20">
        <v>0.8974445030180477</v>
      </c>
      <c r="G8" s="13">
        <v>1.255811942784209</v>
      </c>
      <c r="H8" s="13">
        <v>-1.368134303791134</v>
      </c>
      <c r="I8" s="13">
        <v>-0.5870526183679002</v>
      </c>
      <c r="J8" s="13">
        <v>1.558174597985955</v>
      </c>
      <c r="K8" s="13">
        <v>4.037113416620117</v>
      </c>
      <c r="L8" s="13">
        <v>0.01563980465027959</v>
      </c>
      <c r="M8" s="13">
        <v>-0.04799092386195003</v>
      </c>
      <c r="N8" s="13">
        <v>12.221939</v>
      </c>
      <c r="O8" s="13">
        <v>1.4310424</v>
      </c>
      <c r="P8" s="15">
        <v>-0.20358999</v>
      </c>
      <c r="Q8" s="15">
        <v>0.046</v>
      </c>
      <c r="R8" s="15">
        <v>0.8659576199291157</v>
      </c>
      <c r="S8" s="12">
        <v>68.08093597350666</v>
      </c>
      <c r="T8" s="10" t="s">
        <v>136</v>
      </c>
    </row>
    <row r="9" spans="1:20" x14ac:dyDescent="0.25">
      <c r="A9" s="12">
        <v>5</v>
      </c>
      <c r="B9" s="10" t="s">
        <v>8</v>
      </c>
      <c r="C9" s="10" t="s">
        <v>58</v>
      </c>
      <c r="D9" s="10" t="s">
        <v>59</v>
      </c>
      <c r="E9" s="11">
        <v>377.8200073242188</v>
      </c>
      <c r="F9" s="20">
        <v>0.8818249596899992</v>
      </c>
      <c r="G9" s="13">
        <v>1.187286552445482</v>
      </c>
      <c r="H9" s="13">
        <v>-0.1198805307813126</v>
      </c>
      <c r="I9" s="13">
        <v>-0.3892490054509348</v>
      </c>
      <c r="J9" s="13">
        <v>0.7371472278044641</v>
      </c>
      <c r="K9" s="13">
        <v>3.994299457555074</v>
      </c>
      <c r="L9" s="13">
        <v>0.9926924723957937</v>
      </c>
      <c r="M9" s="13">
        <v>-0.4225310733972489</v>
      </c>
      <c r="N9" s="13">
        <v>9.904647000000001</v>
      </c>
      <c r="O9" s="13">
        <v>2.3224251</v>
      </c>
      <c r="P9" s="15">
        <v>0.26511</v>
      </c>
      <c r="Q9" s="15">
        <v>0.003</v>
      </c>
      <c r="R9" s="15">
        <v>0.2718294193672723</v>
      </c>
      <c r="S9" s="12">
        <v>63.94899117709577</v>
      </c>
      <c r="T9" s="10" t="s">
        <v>136</v>
      </c>
    </row>
    <row r="10" spans="1:20" x14ac:dyDescent="0.25">
      <c r="A10" s="12">
        <v>6</v>
      </c>
      <c r="B10" s="10" t="s">
        <v>137</v>
      </c>
      <c r="C10" s="10" t="s">
        <v>138</v>
      </c>
      <c r="D10" s="10" t="s">
        <v>41</v>
      </c>
      <c r="E10" s="11">
        <v>222.1999969482422</v>
      </c>
      <c r="F10" s="20">
        <v>0.8487173035719388</v>
      </c>
      <c r="G10" s="13">
        <v>-0.6400146282615523</v>
      </c>
      <c r="H10" s="13">
        <v>1.366445373608231</v>
      </c>
      <c r="I10" s="13">
        <v>0.4239293519712278</v>
      </c>
      <c r="J10" s="13">
        <v>2.227392860297685</v>
      </c>
      <c r="K10" s="13">
        <v>0.535548548847568</v>
      </c>
      <c r="L10" s="13">
        <v>-0.432215872556926</v>
      </c>
      <c r="M10" s="13">
        <v>-0.04568737391274738</v>
      </c>
      <c r="N10" s="13">
        <v>33.448517</v>
      </c>
      <c r="O10" s="13">
        <v>31.089407</v>
      </c>
      <c r="P10" s="15">
        <v>1.14818</v>
      </c>
      <c r="Q10" s="15">
        <v>0.299</v>
      </c>
      <c r="R10" s="15">
        <v>1.226428808465815</v>
      </c>
      <c r="S10" s="12">
        <v>57.00448767884139</v>
      </c>
      <c r="T10" s="10" t="s">
        <v>136</v>
      </c>
    </row>
    <row r="11" spans="1:20" x14ac:dyDescent="0.25">
      <c r="A11" s="12">
        <v>7</v>
      </c>
      <c r="B11" s="10" t="s">
        <v>11</v>
      </c>
      <c r="C11" s="10" t="s">
        <v>64</v>
      </c>
      <c r="D11" s="10" t="s">
        <v>61</v>
      </c>
      <c r="E11" s="11">
        <v>347.6400146484375</v>
      </c>
      <c r="F11" s="20">
        <v>0.8335946736879928</v>
      </c>
      <c r="G11" s="13">
        <v>-0.3285343560247656</v>
      </c>
      <c r="H11" s="13">
        <v>1.459641297606501</v>
      </c>
      <c r="I11" s="13">
        <v>1.329512425464752</v>
      </c>
      <c r="J11" s="13">
        <v>0.1234071019879688</v>
      </c>
      <c r="K11" s="13">
        <v>4.037113416620117</v>
      </c>
      <c r="L11" s="13">
        <v>0.1382840507197841</v>
      </c>
      <c r="M11" s="13">
        <v>-0.04419720031320588</v>
      </c>
      <c r="N11" s="13">
        <v>17.644756</v>
      </c>
      <c r="O11" s="13">
        <v>6.909384</v>
      </c>
      <c r="P11" s="15">
        <v>0.48676</v>
      </c>
      <c r="Q11" s="15">
        <v>0.242</v>
      </c>
      <c r="R11" s="15">
        <v>0.03248472636154864</v>
      </c>
      <c r="S11" s="12">
        <v>51.27427440341948</v>
      </c>
      <c r="T11" s="10" t="s">
        <v>136</v>
      </c>
    </row>
    <row r="12" spans="1:20" x14ac:dyDescent="0.25">
      <c r="A12" s="12">
        <v>8</v>
      </c>
      <c r="B12" s="10" t="s">
        <v>4</v>
      </c>
      <c r="C12" s="10" t="s">
        <v>52</v>
      </c>
      <c r="D12" s="10" t="s">
        <v>48</v>
      </c>
      <c r="E12" s="11">
        <v>61.40999984741211</v>
      </c>
      <c r="F12" s="20">
        <v>0.8303882255887448</v>
      </c>
      <c r="G12" s="13">
        <v>0.5555932315613028</v>
      </c>
      <c r="H12" s="13">
        <v>0.615262828357206</v>
      </c>
      <c r="I12" s="13">
        <v>3.077929577016555</v>
      </c>
      <c r="J12" s="13">
        <v>0.6897836443150713</v>
      </c>
      <c r="K12" s="13">
        <v>0.9345527958260584</v>
      </c>
      <c r="L12" s="13">
        <v>0.1327018018753043</v>
      </c>
      <c r="M12" s="13">
        <v>-0.03621379046581302</v>
      </c>
      <c r="N12" s="13">
        <v>17.076704</v>
      </c>
      <c r="O12" s="13">
        <v>1.7959902</v>
      </c>
      <c r="P12" s="15">
        <v>0.10629</v>
      </c>
      <c r="Q12" s="15">
        <v>0.534</v>
      </c>
      <c r="R12" s="15">
        <v>0.1100974115596502</v>
      </c>
      <c r="S12" s="12">
        <v>61.82698456128156</v>
      </c>
      <c r="T12" s="10" t="s">
        <v>136</v>
      </c>
    </row>
    <row r="13" spans="1:20" x14ac:dyDescent="0.25">
      <c r="A13" s="12">
        <v>9</v>
      </c>
      <c r="B13" s="10" t="s">
        <v>91</v>
      </c>
      <c r="C13" s="10" t="s">
        <v>139</v>
      </c>
      <c r="D13" s="10" t="s">
        <v>41</v>
      </c>
      <c r="E13" s="11">
        <v>914.1300048828125</v>
      </c>
      <c r="F13" s="20">
        <v>0.8227437804748921</v>
      </c>
      <c r="G13" s="13">
        <v>-0.1172294581697382</v>
      </c>
      <c r="H13" s="13">
        <v>2.151002143997514</v>
      </c>
      <c r="I13" s="13">
        <v>4.12785569855674</v>
      </c>
      <c r="J13" s="13">
        <v>1.169969808953976</v>
      </c>
      <c r="K13" s="13">
        <v>-0.3486877085504021</v>
      </c>
      <c r="L13" s="13">
        <v>-2.422008617716169</v>
      </c>
      <c r="M13" s="13">
        <v>-0.9616091318375725</v>
      </c>
      <c r="N13" s="13">
        <v>13.84367</v>
      </c>
      <c r="O13" s="13">
        <v>11.533936</v>
      </c>
      <c r="P13" s="15">
        <v>0.8826000000000001</v>
      </c>
      <c r="Q13" s="15">
        <v>3.793</v>
      </c>
      <c r="R13" s="15">
        <v>1.004283947628566</v>
      </c>
      <c r="S13" s="12">
        <v>36.26124679880706</v>
      </c>
      <c r="T13" s="10" t="s">
        <v>136</v>
      </c>
    </row>
    <row r="14" spans="1:20" x14ac:dyDescent="0.25">
      <c r="A14" s="12">
        <v>10</v>
      </c>
      <c r="B14" s="10" t="s">
        <v>20</v>
      </c>
      <c r="C14" s="10" t="s">
        <v>80</v>
      </c>
      <c r="D14" s="10" t="s">
        <v>41</v>
      </c>
      <c r="E14" s="11">
        <v>63.11000061035156</v>
      </c>
      <c r="F14" s="20">
        <v>0.7417345846425372</v>
      </c>
      <c r="G14" s="13">
        <v>0.2210528163067884</v>
      </c>
      <c r="H14" s="13">
        <v>-0.5344576345348465</v>
      </c>
      <c r="I14" s="13">
        <v>2.11370107259597</v>
      </c>
      <c r="J14" s="13">
        <v>2.330621670522358</v>
      </c>
      <c r="K14" s="13">
        <v>0.3679132074995579</v>
      </c>
      <c r="L14" s="13">
        <v>-2.06572026997574</v>
      </c>
      <c r="M14" s="13">
        <v>-0.5413084735602033</v>
      </c>
      <c r="N14" s="13">
        <v>37.86598</v>
      </c>
      <c r="O14" s="13">
        <v>3.6796231</v>
      </c>
      <c r="P14" s="15">
        <v>0.10936</v>
      </c>
      <c r="Q14" s="15">
        <v>0.337</v>
      </c>
      <c r="R14" s="15">
        <v>1.577365282101474</v>
      </c>
      <c r="S14" s="12">
        <v>48.38639197874727</v>
      </c>
      <c r="T14" s="10" t="s">
        <v>136</v>
      </c>
    </row>
    <row r="15" spans="1:20" x14ac:dyDescent="0.25">
      <c r="A15" s="12">
        <v>11</v>
      </c>
      <c r="B15" s="10" t="s">
        <v>140</v>
      </c>
      <c r="C15" s="10" t="s">
        <v>141</v>
      </c>
      <c r="D15" s="10" t="s">
        <v>41</v>
      </c>
      <c r="E15" s="11">
        <v>235.9499969482422</v>
      </c>
      <c r="F15" s="20">
        <v>0.7369781494044974</v>
      </c>
      <c r="G15" s="13">
        <v>0.445387850826149</v>
      </c>
      <c r="H15" s="13">
        <v>0.5371012848843359</v>
      </c>
      <c r="I15" s="13">
        <v>0.1720715631623876</v>
      </c>
      <c r="J15" s="13">
        <v>0.8444998961780219</v>
      </c>
      <c r="K15" s="13">
        <v>3.685807583381099</v>
      </c>
      <c r="L15" s="13">
        <v>-1.780884631767303</v>
      </c>
      <c r="M15" s="13">
        <v>-0.4391103324380299</v>
      </c>
      <c r="N15" s="13">
        <v>20.963404</v>
      </c>
      <c r="O15" s="13">
        <v>4.913579</v>
      </c>
      <c r="P15" s="15">
        <v>0.19381</v>
      </c>
      <c r="Q15" s="15">
        <v>0.108</v>
      </c>
      <c r="R15" s="15">
        <v>0.3343194829716822</v>
      </c>
      <c r="S15" s="12">
        <v>53.6771808177494</v>
      </c>
      <c r="T15" s="10" t="s">
        <v>136</v>
      </c>
    </row>
    <row r="16" spans="1:20" x14ac:dyDescent="0.25">
      <c r="A16" s="12">
        <v>12</v>
      </c>
      <c r="B16" s="10" t="s">
        <v>94</v>
      </c>
      <c r="C16" s="10" t="s">
        <v>142</v>
      </c>
      <c r="D16" s="10" t="s">
        <v>41</v>
      </c>
      <c r="E16" s="11">
        <v>507.9299926757812</v>
      </c>
      <c r="F16" s="20">
        <v>0.6647884886059343</v>
      </c>
      <c r="G16" s="13">
        <v>-0.1075886523285822</v>
      </c>
      <c r="H16" s="13">
        <v>-0.8447423148789104</v>
      </c>
      <c r="I16" s="13">
        <v>2.119917693224531</v>
      </c>
      <c r="J16" s="13">
        <v>2.115454346998049</v>
      </c>
      <c r="K16" s="13">
        <v>1.69239307699997</v>
      </c>
      <c r="L16" s="13">
        <v>-2.949498962581992</v>
      </c>
      <c r="M16" s="13">
        <v>-0.6679011062654987</v>
      </c>
      <c r="N16" s="13">
        <v>33.41277</v>
      </c>
      <c r="O16" s="13">
        <v>-262.80716</v>
      </c>
      <c r="P16" s="15">
        <v>0</v>
      </c>
      <c r="Q16" s="15">
        <v>0.577</v>
      </c>
      <c r="R16" s="15">
        <v>1.878742764702428</v>
      </c>
      <c r="S16" s="12">
        <v>41.92176235596323</v>
      </c>
      <c r="T16" s="10" t="s">
        <v>136</v>
      </c>
    </row>
    <row r="17" spans="1:20" x14ac:dyDescent="0.25">
      <c r="A17" s="12">
        <v>13</v>
      </c>
      <c r="B17" s="10" t="s">
        <v>6</v>
      </c>
      <c r="C17" s="10" t="s">
        <v>55</v>
      </c>
      <c r="D17" s="10" t="s">
        <v>48</v>
      </c>
      <c r="E17" s="11">
        <v>47.36999893188477</v>
      </c>
      <c r="F17" s="20">
        <v>0.6481137457849795</v>
      </c>
      <c r="G17" s="13">
        <v>0.9861002278279252</v>
      </c>
      <c r="H17" s="13">
        <v>0.5612515707924636</v>
      </c>
      <c r="I17" s="13">
        <v>-0.2947421241753646</v>
      </c>
      <c r="J17" s="13">
        <v>1.738567162804421</v>
      </c>
      <c r="K17" s="13">
        <v>-0.5639893290676546</v>
      </c>
      <c r="L17" s="13">
        <v>-0.5154522265252964</v>
      </c>
      <c r="M17" s="13">
        <v>-0.158432873687435</v>
      </c>
      <c r="N17" s="13">
        <v>9.699789000000001</v>
      </c>
      <c r="O17" s="13">
        <v>2.2914796</v>
      </c>
      <c r="P17" s="15">
        <v>0.26659</v>
      </c>
      <c r="Q17" s="15">
        <v>0.092</v>
      </c>
      <c r="R17" s="15">
        <v>0.3120957736347147</v>
      </c>
      <c r="S17" s="12">
        <v>64.70245176621867</v>
      </c>
      <c r="T17" s="10" t="s">
        <v>136</v>
      </c>
    </row>
    <row r="18" spans="1:20" x14ac:dyDescent="0.25">
      <c r="A18" s="12">
        <v>14</v>
      </c>
      <c r="B18" s="10" t="s">
        <v>13</v>
      </c>
      <c r="C18" s="10" t="s">
        <v>67</v>
      </c>
      <c r="D18" s="10" t="s">
        <v>68</v>
      </c>
      <c r="E18" s="11">
        <v>155.3099975585938</v>
      </c>
      <c r="F18" s="20">
        <v>0.6417892365552625</v>
      </c>
      <c r="G18" s="13">
        <v>0.4755572880593366</v>
      </c>
      <c r="H18" s="13">
        <v>-0.5579052235604326</v>
      </c>
      <c r="I18" s="13">
        <v>-0.05791369034948607</v>
      </c>
      <c r="J18" s="13">
        <v>0.7919848434204225</v>
      </c>
      <c r="K18" s="13">
        <v>3.44319157817136</v>
      </c>
      <c r="L18" s="13">
        <v>0.4146312903387912</v>
      </c>
      <c r="M18" s="13">
        <v>-0.3051398789727215</v>
      </c>
      <c r="N18" s="13">
        <v>15.954309</v>
      </c>
      <c r="O18" s="13">
        <v>3.911704</v>
      </c>
      <c r="P18" s="15">
        <v>0.26408002</v>
      </c>
      <c r="Q18" s="15">
        <v>0.053</v>
      </c>
      <c r="R18" s="15">
        <v>0.285755006502739</v>
      </c>
      <c r="S18" s="12">
        <v>49.77755513642406</v>
      </c>
      <c r="T18" s="10" t="s">
        <v>136</v>
      </c>
    </row>
    <row r="19" spans="1:20" x14ac:dyDescent="0.25">
      <c r="A19" s="12">
        <v>15</v>
      </c>
      <c r="B19" s="10" t="s">
        <v>18</v>
      </c>
      <c r="C19" s="10" t="s">
        <v>76</v>
      </c>
      <c r="D19" s="10" t="s">
        <v>63</v>
      </c>
      <c r="E19" s="11">
        <v>232.8300018310547</v>
      </c>
      <c r="F19" s="20">
        <v>0.6410855620214339</v>
      </c>
      <c r="G19" s="13">
        <v>0.1972144638373766</v>
      </c>
      <c r="H19" s="13">
        <v>0.0272457680026615</v>
      </c>
      <c r="I19" s="13">
        <v>-0.878827185566031</v>
      </c>
      <c r="J19" s="13">
        <v>0.9356240407770618</v>
      </c>
      <c r="K19" s="13">
        <v>3.526205884589703</v>
      </c>
      <c r="L19" s="13">
        <v>0.5488559694418522</v>
      </c>
      <c r="M19" s="13">
        <v>-0.595661529293887</v>
      </c>
      <c r="N19" s="13">
        <v>40.090588</v>
      </c>
      <c r="O19" s="13">
        <v>1.7687485</v>
      </c>
      <c r="P19" s="15">
        <v>0.04575</v>
      </c>
      <c r="Q19" s="15">
        <v>0.034</v>
      </c>
      <c r="R19" s="15">
        <v>0.2896311647804755</v>
      </c>
      <c r="S19" s="12">
        <v>63.69891901044474</v>
      </c>
      <c r="T19" s="10" t="s">
        <v>136</v>
      </c>
    </row>
    <row r="20" spans="1:20" x14ac:dyDescent="0.25">
      <c r="A20" s="12">
        <v>16</v>
      </c>
      <c r="B20" s="10" t="s">
        <v>17</v>
      </c>
      <c r="C20" s="10" t="s">
        <v>74</v>
      </c>
      <c r="D20" s="10" t="s">
        <v>68</v>
      </c>
      <c r="E20" s="11">
        <v>121.7600021362305</v>
      </c>
      <c r="F20" s="20">
        <v>0.6207711653919917</v>
      </c>
      <c r="G20" s="13">
        <v>0.3844623079993796</v>
      </c>
      <c r="H20" s="13">
        <v>-0.1225159176090149</v>
      </c>
      <c r="I20" s="13">
        <v>0.4303409832118458</v>
      </c>
      <c r="J20" s="13">
        <v>0.0846708712803828</v>
      </c>
      <c r="K20" s="13">
        <v>4.037113416620117</v>
      </c>
      <c r="L20" s="13">
        <v>-0.007504507458442592</v>
      </c>
      <c r="M20" s="13">
        <v>0.234147468966735</v>
      </c>
      <c r="N20" s="13">
        <v>14.45067</v>
      </c>
      <c r="O20" s="13">
        <v>6.500466</v>
      </c>
      <c r="P20" s="15">
        <v>0.46032003</v>
      </c>
      <c r="Q20" s="15">
        <v>0.07000000000000001</v>
      </c>
      <c r="R20" s="15">
        <v>0.2016184736603308</v>
      </c>
      <c r="S20" s="12">
        <v>57.94718888596617</v>
      </c>
      <c r="T20" s="10" t="s">
        <v>136</v>
      </c>
    </row>
    <row r="21" spans="1:20" x14ac:dyDescent="0.25">
      <c r="A21" s="12">
        <v>17</v>
      </c>
      <c r="B21" s="10" t="s">
        <v>15</v>
      </c>
      <c r="C21" s="10" t="s">
        <v>70</v>
      </c>
      <c r="D21" s="10" t="s">
        <v>71</v>
      </c>
      <c r="E21" s="11">
        <v>254.0800018310547</v>
      </c>
      <c r="F21" s="20">
        <v>0.5950055868451747</v>
      </c>
      <c r="G21" s="13">
        <v>-0.02977335660029285</v>
      </c>
      <c r="H21" s="13">
        <v>0.160055113268548</v>
      </c>
      <c r="I21" s="13">
        <v>0.9707254877878508</v>
      </c>
      <c r="J21" s="13">
        <v>0.04440619398056514</v>
      </c>
      <c r="K21" s="13">
        <v>4.037113416620117</v>
      </c>
      <c r="L21" s="13">
        <v>-0.5380224524188785</v>
      </c>
      <c r="M21" s="13">
        <v>0.1523662886002977</v>
      </c>
      <c r="N21" s="13">
        <v>21.112629</v>
      </c>
      <c r="O21" s="13">
        <v>5.1299944</v>
      </c>
      <c r="P21" s="15">
        <v>0.30558002</v>
      </c>
      <c r="Q21" s="15">
        <v>0.196</v>
      </c>
      <c r="R21" s="15">
        <v>0.02245473573865064</v>
      </c>
      <c r="S21" s="12">
        <v>49.33534011995932</v>
      </c>
      <c r="T21" s="10" t="s">
        <v>136</v>
      </c>
    </row>
    <row r="22" spans="1:20" x14ac:dyDescent="0.25">
      <c r="A22" s="12">
        <v>18</v>
      </c>
      <c r="B22" s="10" t="s">
        <v>0</v>
      </c>
      <c r="C22" s="10" t="s">
        <v>40</v>
      </c>
      <c r="D22" s="10" t="s">
        <v>41</v>
      </c>
      <c r="E22" s="11">
        <v>1403.339965820312</v>
      </c>
      <c r="F22" s="20">
        <v>0.558057235297111</v>
      </c>
      <c r="G22" s="13">
        <v>-0.3715766681671279</v>
      </c>
      <c r="H22" s="13">
        <v>2.057050157474414</v>
      </c>
      <c r="I22" s="13">
        <v>4.09736352358056</v>
      </c>
      <c r="J22" s="13">
        <v>0.3978093361686088</v>
      </c>
      <c r="K22" s="13">
        <v>0.1167279835627633</v>
      </c>
      <c r="L22" s="13">
        <v>-2.949498962581992</v>
      </c>
      <c r="M22" s="13">
        <v>-0.8787945388745357</v>
      </c>
      <c r="N22" s="13">
        <v>21.445498</v>
      </c>
      <c r="O22" s="13">
        <v>14.977796</v>
      </c>
      <c r="P22" s="15">
        <v>0.9164</v>
      </c>
      <c r="Q22" s="15">
        <v>3.716</v>
      </c>
      <c r="R22" s="15">
        <v>0.5737451351614038</v>
      </c>
      <c r="S22" s="12">
        <v>34.34738914248405</v>
      </c>
      <c r="T22" s="10" t="s">
        <v>136</v>
      </c>
    </row>
    <row r="23" spans="1:20" x14ac:dyDescent="0.25">
      <c r="A23" s="12">
        <v>19</v>
      </c>
      <c r="B23" s="10" t="s">
        <v>143</v>
      </c>
      <c r="C23" s="10" t="s">
        <v>144</v>
      </c>
      <c r="D23" s="10" t="s">
        <v>48</v>
      </c>
      <c r="E23" s="11">
        <v>222.0399932861328</v>
      </c>
      <c r="F23" s="20">
        <v>0.5481076026540469</v>
      </c>
      <c r="G23" s="13">
        <v>0.4630268796884387</v>
      </c>
      <c r="H23" s="13">
        <v>-0.3282907644621123</v>
      </c>
      <c r="I23" s="13">
        <v>2.233294390227442</v>
      </c>
      <c r="J23" s="13">
        <v>1.057651638229864</v>
      </c>
      <c r="K23" s="13">
        <v>-0.144633187612409</v>
      </c>
      <c r="L23" s="13">
        <v>0.7341297764532626</v>
      </c>
      <c r="M23" s="13">
        <v>-0.625343099266802</v>
      </c>
      <c r="N23" s="13">
        <v>20.40231</v>
      </c>
      <c r="O23" s="13">
        <v>2.1898758</v>
      </c>
      <c r="P23" s="15">
        <v>0.12231</v>
      </c>
      <c r="Q23" s="15">
        <v>0.535</v>
      </c>
      <c r="R23" s="15">
        <v>0.2223742950496221</v>
      </c>
      <c r="S23" s="12">
        <v>71.31825715055166</v>
      </c>
      <c r="T23" s="10" t="s">
        <v>136</v>
      </c>
    </row>
    <row r="24" spans="1:20" x14ac:dyDescent="0.25">
      <c r="A24" s="12">
        <v>20</v>
      </c>
      <c r="B24" s="10" t="s">
        <v>12</v>
      </c>
      <c r="C24" s="10" t="s">
        <v>66</v>
      </c>
      <c r="D24" s="10" t="s">
        <v>59</v>
      </c>
      <c r="E24" s="11">
        <v>236.1699981689453</v>
      </c>
      <c r="F24" s="20">
        <v>0.54688789690373</v>
      </c>
      <c r="G24" s="13">
        <v>1.256899045882137</v>
      </c>
      <c r="H24" s="13">
        <v>0.1687273867194284</v>
      </c>
      <c r="I24" s="13">
        <v>-0.06592248185956601</v>
      </c>
      <c r="J24" s="13">
        <v>-0.009314915661564302</v>
      </c>
      <c r="K24" s="13">
        <v>1.954289824345583</v>
      </c>
      <c r="L24" s="13">
        <v>0.4602144262118926</v>
      </c>
      <c r="M24" s="13">
        <v>0.5113595645009885</v>
      </c>
      <c r="N24" s="13">
        <v>4.590436</v>
      </c>
      <c r="O24" s="13">
        <v>1.838514</v>
      </c>
      <c r="P24" s="15">
        <v>0.46113998</v>
      </c>
      <c r="Q24" s="15">
        <v>0.118</v>
      </c>
      <c r="R24" s="15">
        <v>0.09243564797535408</v>
      </c>
      <c r="S24" s="12">
        <v>50.0664847517501</v>
      </c>
      <c r="T24" s="10" t="s">
        <v>136</v>
      </c>
    </row>
    <row r="25" spans="1:20" x14ac:dyDescent="0.25">
      <c r="A25" s="12">
        <v>21</v>
      </c>
      <c r="B25" s="10" t="s">
        <v>145</v>
      </c>
      <c r="C25" s="10" t="s">
        <v>146</v>
      </c>
      <c r="D25" s="10" t="s">
        <v>41</v>
      </c>
      <c r="E25" s="11">
        <v>184.0500030517578</v>
      </c>
      <c r="F25" s="20">
        <v>0.5300148814832472</v>
      </c>
      <c r="G25" s="13">
        <v>-2.114609254291167</v>
      </c>
      <c r="H25" s="13">
        <v>1.770921230679228</v>
      </c>
      <c r="I25" s="13">
        <v>0.220221171989416</v>
      </c>
      <c r="J25" s="13">
        <v>2.050910296744923</v>
      </c>
      <c r="K25" s="13">
        <v>0.4814553556330344</v>
      </c>
      <c r="L25" s="13">
        <v>-0.6502105175938252</v>
      </c>
      <c r="M25" s="13">
        <v>-0.3595008436971591</v>
      </c>
      <c r="N25" s="13">
        <v>68.81625</v>
      </c>
      <c r="O25" s="13">
        <v>92.12393</v>
      </c>
      <c r="P25" s="15">
        <v>1.17442</v>
      </c>
      <c r="Q25" s="15">
        <v>0.256</v>
      </c>
      <c r="R25" s="15">
        <v>1.311024666779198</v>
      </c>
      <c r="S25" s="12">
        <v>56.14718236618351</v>
      </c>
      <c r="T25" s="10" t="s">
        <v>136</v>
      </c>
    </row>
    <row r="26" spans="1:20" x14ac:dyDescent="0.25">
      <c r="A26" s="12">
        <v>22</v>
      </c>
      <c r="B26" s="10" t="s">
        <v>147</v>
      </c>
      <c r="C26" s="10" t="s">
        <v>148</v>
      </c>
      <c r="D26" s="10" t="s">
        <v>41</v>
      </c>
      <c r="E26" s="11">
        <v>376.8800048828125</v>
      </c>
      <c r="F26" s="20">
        <v>0.5230637675122519</v>
      </c>
      <c r="G26" s="13">
        <v>0.05829011904393756</v>
      </c>
      <c r="H26" s="13">
        <v>-0.2386394236856432</v>
      </c>
      <c r="I26" s="13">
        <v>0.4382083912057649</v>
      </c>
      <c r="J26" s="13">
        <v>1.444707029718736</v>
      </c>
      <c r="K26" s="13">
        <v>1.797366006406391</v>
      </c>
      <c r="L26" s="13">
        <v>-1.796953766701602</v>
      </c>
      <c r="M26" s="13">
        <v>-0.4293223616102758</v>
      </c>
      <c r="N26" s="13">
        <v>35.48854</v>
      </c>
      <c r="O26" s="13">
        <v>5.341519</v>
      </c>
      <c r="P26" s="15">
        <v>0.15286</v>
      </c>
      <c r="Q26" s="15">
        <v>0.204</v>
      </c>
      <c r="R26" s="15">
        <v>0.6411775208348187</v>
      </c>
      <c r="S26" s="12">
        <v>55.99241757454548</v>
      </c>
      <c r="T26" s="10" t="s">
        <v>136</v>
      </c>
    </row>
    <row r="27" spans="1:20" x14ac:dyDescent="0.25">
      <c r="A27" s="12">
        <v>23</v>
      </c>
      <c r="B27" s="10" t="s">
        <v>149</v>
      </c>
      <c r="C27" s="10" t="s">
        <v>150</v>
      </c>
      <c r="D27" s="10" t="s">
        <v>48</v>
      </c>
      <c r="E27" s="11">
        <v>142.3399963378906</v>
      </c>
      <c r="F27" s="20">
        <v>0.4948522192547213</v>
      </c>
      <c r="G27" s="13">
        <v>0.4503326028677878</v>
      </c>
      <c r="H27" s="13">
        <v>-0.1381780449371671</v>
      </c>
      <c r="I27" s="13">
        <v>0.7716117421870532</v>
      </c>
      <c r="J27" s="13">
        <v>1.225168296832862</v>
      </c>
      <c r="K27" s="13">
        <v>-0.05144293395568774</v>
      </c>
      <c r="L27" s="13">
        <v>0.2882442862019671</v>
      </c>
      <c r="M27" s="13">
        <v>-0.2491541304691666</v>
      </c>
      <c r="N27" s="13">
        <v>17.76159</v>
      </c>
      <c r="O27" s="13">
        <v>2.4652097</v>
      </c>
      <c r="P27" s="15">
        <v>0.1418</v>
      </c>
      <c r="Q27" s="15">
        <v>0.355</v>
      </c>
      <c r="R27" s="15">
        <v>0.2138771476263022</v>
      </c>
      <c r="S27" s="12">
        <v>71.29538722149405</v>
      </c>
      <c r="T27" s="10" t="s">
        <v>136</v>
      </c>
    </row>
    <row r="28" spans="1:20" x14ac:dyDescent="0.25">
      <c r="A28" s="12">
        <v>24</v>
      </c>
      <c r="B28" s="10" t="s">
        <v>151</v>
      </c>
      <c r="C28" s="10" t="s">
        <v>152</v>
      </c>
      <c r="D28" s="10" t="s">
        <v>48</v>
      </c>
      <c r="E28" s="11">
        <v>154.1900024414062</v>
      </c>
      <c r="F28" s="20">
        <v>0.4912680759628336</v>
      </c>
      <c r="G28" s="13">
        <v>0.5258568789706033</v>
      </c>
      <c r="H28" s="13">
        <v>0.4660864804691944</v>
      </c>
      <c r="I28" s="13">
        <v>1.396975994830035</v>
      </c>
      <c r="J28" s="13">
        <v>0.8399506512951906</v>
      </c>
      <c r="K28" s="13">
        <v>-0.5056115264895936</v>
      </c>
      <c r="L28" s="13">
        <v>0.1106169185921604</v>
      </c>
      <c r="M28" s="13">
        <v>-0.1950803241910638</v>
      </c>
      <c r="N28" s="13">
        <v>11.529961</v>
      </c>
      <c r="O28" s="13">
        <v>2.443433</v>
      </c>
      <c r="P28" s="15">
        <v>0.22507</v>
      </c>
      <c r="Q28" s="15">
        <v>0.587</v>
      </c>
      <c r="R28" s="15">
        <v>0.1824185236671019</v>
      </c>
      <c r="S28" s="12">
        <v>67.66312279253869</v>
      </c>
      <c r="T28" s="10" t="s">
        <v>136</v>
      </c>
    </row>
    <row r="29" spans="1:20" x14ac:dyDescent="0.25">
      <c r="A29" s="12">
        <v>25</v>
      </c>
      <c r="B29" s="10" t="s">
        <v>16</v>
      </c>
      <c r="C29" s="10" t="s">
        <v>73</v>
      </c>
      <c r="D29" s="10" t="s">
        <v>63</v>
      </c>
      <c r="E29" s="11">
        <v>271.760009765625</v>
      </c>
      <c r="F29" s="20">
        <v>0.4876514246202027</v>
      </c>
      <c r="G29" s="13">
        <v>-0.7248874185708422</v>
      </c>
      <c r="H29" s="13">
        <v>0.4430731040983454</v>
      </c>
      <c r="I29" s="13">
        <v>-0.4530813424943169</v>
      </c>
      <c r="J29" s="13">
        <v>2.592394613188554</v>
      </c>
      <c r="K29" s="13">
        <v>-0.2528195740414762</v>
      </c>
      <c r="L29" s="13">
        <v>-1.163536009350817</v>
      </c>
      <c r="M29" s="13">
        <v>-1.062753461923618</v>
      </c>
      <c r="N29" s="13">
        <v>51.89739</v>
      </c>
      <c r="O29" s="13">
        <v>14.800214</v>
      </c>
      <c r="P29" s="15">
        <v>0.32339</v>
      </c>
      <c r="Q29" s="15">
        <v>0.094</v>
      </c>
      <c r="R29" s="15">
        <v>1.05474082150804</v>
      </c>
      <c r="S29" s="12">
        <v>58.88132724219482</v>
      </c>
      <c r="T29" s="10" t="s">
        <v>136</v>
      </c>
    </row>
    <row r="30" spans="1:20" x14ac:dyDescent="0.25">
      <c r="A30" s="12">
        <v>26</v>
      </c>
      <c r="B30" s="10" t="s">
        <v>153</v>
      </c>
      <c r="C30" s="10" t="s">
        <v>154</v>
      </c>
      <c r="D30" s="10" t="s">
        <v>71</v>
      </c>
      <c r="E30" s="11">
        <v>95.45999908447266</v>
      </c>
      <c r="F30" s="20">
        <v>0.4627199685805627</v>
      </c>
      <c r="G30" s="13">
        <v>0.09120761566025611</v>
      </c>
      <c r="H30" s="13">
        <v>1.652287474348924</v>
      </c>
      <c r="I30" s="13">
        <v>0.0273109313630392</v>
      </c>
      <c r="J30" s="13">
        <v>0.4720630108032512</v>
      </c>
      <c r="K30" s="13">
        <v>0.06745497588219804</v>
      </c>
      <c r="L30" s="13">
        <v>0.6161377183359579</v>
      </c>
      <c r="M30" s="13">
        <v>-0.09345318396764679</v>
      </c>
      <c r="N30" s="13">
        <v>16.694096</v>
      </c>
      <c r="O30" s="13">
        <v>18.69391</v>
      </c>
      <c r="P30" s="15">
        <v>1.5956</v>
      </c>
      <c r="Q30" s="15">
        <v>0.162</v>
      </c>
      <c r="R30" s="15">
        <v>0.03230029322725958</v>
      </c>
      <c r="S30" s="12">
        <v>64.58742501238767</v>
      </c>
      <c r="T30" s="10" t="s">
        <v>136</v>
      </c>
    </row>
    <row r="31" spans="1:20" x14ac:dyDescent="0.25">
      <c r="A31" s="12">
        <v>27</v>
      </c>
      <c r="B31" s="10" t="s">
        <v>155</v>
      </c>
      <c r="C31" s="10" t="s">
        <v>156</v>
      </c>
      <c r="D31" s="10" t="s">
        <v>41</v>
      </c>
      <c r="E31" s="11">
        <v>271.1199951171875</v>
      </c>
      <c r="F31" s="20">
        <v>0.4471372258957333</v>
      </c>
      <c r="G31" s="13">
        <v>-0.8805891848256409</v>
      </c>
      <c r="H31" s="13">
        <v>0.03652855326022123</v>
      </c>
      <c r="I31" s="13">
        <v>2.246420289880714</v>
      </c>
      <c r="J31" s="13">
        <v>2.096390508368464</v>
      </c>
      <c r="K31" s="13">
        <v>-0.02573527777452323</v>
      </c>
      <c r="L31" s="13">
        <v>-2.630324415505271</v>
      </c>
      <c r="M31" s="13">
        <v>-1.160659657407979</v>
      </c>
      <c r="N31" s="13">
        <v>40.037346</v>
      </c>
      <c r="O31" s="13">
        <v>4.951591</v>
      </c>
      <c r="P31" s="15">
        <v>0.13497</v>
      </c>
      <c r="Q31" s="15">
        <v>0.22</v>
      </c>
      <c r="R31" s="15">
        <v>1.022227047855257</v>
      </c>
      <c r="S31" s="12">
        <v>50.36741809631073</v>
      </c>
      <c r="T31" s="10" t="s">
        <v>136</v>
      </c>
    </row>
    <row r="32" spans="1:20" x14ac:dyDescent="0.25">
      <c r="A32" s="12">
        <v>28</v>
      </c>
      <c r="B32" s="10" t="s">
        <v>157</v>
      </c>
      <c r="C32" s="10" t="s">
        <v>158</v>
      </c>
      <c r="D32" s="10" t="s">
        <v>63</v>
      </c>
      <c r="E32" s="11">
        <v>1208.739990234375</v>
      </c>
      <c r="F32" s="20">
        <v>0.4457402747961864</v>
      </c>
      <c r="G32" s="13">
        <v>-1.067825127575939</v>
      </c>
      <c r="H32" s="13">
        <v>1.801901173699206</v>
      </c>
      <c r="I32" s="13">
        <v>0.7243252315067988</v>
      </c>
      <c r="J32" s="13">
        <v>0.6080065705360135</v>
      </c>
      <c r="K32" s="13">
        <v>0.842433694510219</v>
      </c>
      <c r="L32" s="13">
        <v>0.3305573712931109</v>
      </c>
      <c r="M32" s="13">
        <v>-0.3264421245289307</v>
      </c>
      <c r="N32" s="13">
        <v>39.5861</v>
      </c>
      <c r="O32" s="13">
        <v>31.03179</v>
      </c>
      <c r="P32" s="15">
        <v>1.02286</v>
      </c>
      <c r="Q32" s="15">
        <v>0.477</v>
      </c>
      <c r="R32" s="15">
        <v>0.339796252696557</v>
      </c>
      <c r="S32" s="12">
        <v>60.43546764048855</v>
      </c>
      <c r="T32" s="10" t="s">
        <v>136</v>
      </c>
    </row>
    <row r="33" spans="1:20" x14ac:dyDescent="0.25">
      <c r="A33" s="12">
        <v>29</v>
      </c>
      <c r="B33" s="10" t="s">
        <v>159</v>
      </c>
      <c r="C33" s="10" t="s">
        <v>160</v>
      </c>
      <c r="D33" s="10" t="s">
        <v>41</v>
      </c>
      <c r="E33" s="11">
        <v>35.77999877929688</v>
      </c>
      <c r="F33" s="20">
        <v>0.4384088602597463</v>
      </c>
      <c r="G33" s="13">
        <v>-0.01436423851863369</v>
      </c>
      <c r="H33" s="13">
        <v>-0.8111350979836002</v>
      </c>
      <c r="I33" s="13">
        <v>3.797605429884786</v>
      </c>
      <c r="J33" s="13">
        <v>0.08533625270185578</v>
      </c>
      <c r="K33" s="13">
        <v>3.535310679487199</v>
      </c>
      <c r="L33" s="13">
        <v>-2.949498962581992</v>
      </c>
      <c r="M33" s="13">
        <v>-1.023159046401292</v>
      </c>
      <c r="N33" s="13">
        <v>13.120689</v>
      </c>
      <c r="O33" s="13">
        <v>2.6814659</v>
      </c>
      <c r="P33" s="15">
        <v>0.21465999</v>
      </c>
      <c r="Q33" s="15">
        <v>0.9320000000000001</v>
      </c>
      <c r="R33" s="15">
        <v>0.3111028794044097</v>
      </c>
      <c r="S33" s="12">
        <v>37.68367454999314</v>
      </c>
      <c r="T33" s="10" t="s">
        <v>136</v>
      </c>
    </row>
    <row r="34" spans="1:20" x14ac:dyDescent="0.25">
      <c r="A34" s="12">
        <v>30</v>
      </c>
      <c r="B34" s="10" t="s">
        <v>7</v>
      </c>
      <c r="C34" s="10" t="s">
        <v>56</v>
      </c>
      <c r="D34" s="10" t="s">
        <v>41</v>
      </c>
      <c r="E34" s="11">
        <v>221.3000030517578</v>
      </c>
      <c r="F34" s="20">
        <v>0.4243984586823153</v>
      </c>
      <c r="G34" s="13">
        <v>-1.1019019214601</v>
      </c>
      <c r="H34" s="13">
        <v>2.369306381861027</v>
      </c>
      <c r="I34" s="13">
        <v>2.390890545007346</v>
      </c>
      <c r="J34" s="13">
        <v>0.258180308540127</v>
      </c>
      <c r="K34" s="13">
        <v>-0.2881676012905774</v>
      </c>
      <c r="L34" s="13">
        <v>-0.1774039267954655</v>
      </c>
      <c r="M34" s="13">
        <v>-0.3458376981600805</v>
      </c>
      <c r="N34" s="13">
        <v>28.986094</v>
      </c>
      <c r="O34" s="13">
        <v>24.178003</v>
      </c>
      <c r="P34" s="15">
        <v>1.17211</v>
      </c>
      <c r="Q34" s="15">
        <v>1.059</v>
      </c>
      <c r="R34" s="15">
        <v>0.1153307952322089</v>
      </c>
      <c r="S34" s="12">
        <v>43.97935058533494</v>
      </c>
      <c r="T34" s="10" t="s">
        <v>136</v>
      </c>
    </row>
    <row r="35" spans="1:20" x14ac:dyDescent="0.25">
      <c r="A35" s="12">
        <v>31</v>
      </c>
      <c r="B35" s="10" t="s">
        <v>161</v>
      </c>
      <c r="C35" s="10" t="s">
        <v>162</v>
      </c>
      <c r="D35" s="10" t="s">
        <v>163</v>
      </c>
      <c r="E35" s="11">
        <v>30.95</v>
      </c>
      <c r="F35" s="20">
        <v>0.4215045175391142</v>
      </c>
      <c r="G35" s="13">
        <v>-0.01541387474592746</v>
      </c>
      <c r="H35" s="13">
        <v>-1.00154153379357</v>
      </c>
      <c r="I35" s="13">
        <v>-1.185161562431872</v>
      </c>
      <c r="J35" s="13">
        <v>0.910656118902156</v>
      </c>
      <c r="K35" s="13">
        <v>4.037113416620117</v>
      </c>
      <c r="L35" s="13">
        <v>0.4629239467103094</v>
      </c>
      <c r="M35" s="13">
        <v>-1.029800822801748</v>
      </c>
      <c r="N35" s="13">
        <v>497.26776</v>
      </c>
      <c r="O35" s="13">
        <v>2.3630948</v>
      </c>
      <c r="P35" s="15">
        <v>-0.08785999999999999</v>
      </c>
      <c r="Q35" s="15">
        <v>-0.112</v>
      </c>
      <c r="R35" s="15">
        <v>0.1308001461454147</v>
      </c>
      <c r="S35" s="12">
        <v>75.22299401348903</v>
      </c>
      <c r="T35" s="10" t="s">
        <v>136</v>
      </c>
    </row>
    <row r="36" spans="1:20" x14ac:dyDescent="0.25">
      <c r="A36" s="12">
        <v>32</v>
      </c>
      <c r="B36" s="10" t="s">
        <v>19</v>
      </c>
      <c r="C36" s="10" t="s">
        <v>78</v>
      </c>
      <c r="D36" s="10" t="s">
        <v>59</v>
      </c>
      <c r="E36" s="11">
        <v>194.3500061035156</v>
      </c>
      <c r="F36" s="20">
        <v>0.4137428543891978</v>
      </c>
      <c r="G36" s="13">
        <v>0.573799013559786</v>
      </c>
      <c r="H36" s="13">
        <v>-0.6557710512148275</v>
      </c>
      <c r="I36" s="13">
        <v>4.09736352358056</v>
      </c>
      <c r="J36" s="13">
        <v>-0.5431764848141137</v>
      </c>
      <c r="K36" s="13">
        <v>0.6560531871967765</v>
      </c>
      <c r="L36" s="13">
        <v>0.6857711298223538</v>
      </c>
      <c r="M36" s="13">
        <v>0.6090792872004047</v>
      </c>
      <c r="N36" s="13">
        <v>12.797688</v>
      </c>
      <c r="O36" s="13">
        <v>1.1870677</v>
      </c>
      <c r="P36" s="15">
        <v>0.09031</v>
      </c>
      <c r="Q36" s="15">
        <v>11.11</v>
      </c>
      <c r="R36" s="15">
        <v>-0.03501068146755337</v>
      </c>
      <c r="S36" s="12">
        <v>38.08737904424933</v>
      </c>
      <c r="T36" s="10" t="s">
        <v>136</v>
      </c>
    </row>
    <row r="37" spans="1:20" x14ac:dyDescent="0.25">
      <c r="A37" s="12">
        <v>33</v>
      </c>
      <c r="B37" s="10" t="s">
        <v>164</v>
      </c>
      <c r="C37" s="10" t="s">
        <v>165</v>
      </c>
      <c r="D37" s="10" t="s">
        <v>48</v>
      </c>
      <c r="E37" s="11">
        <v>177.0099945068359</v>
      </c>
      <c r="F37" s="20">
        <v>0.404486204762235</v>
      </c>
      <c r="G37" s="13">
        <v>0.3069913706549089</v>
      </c>
      <c r="H37" s="13">
        <v>-0.5480761301982536</v>
      </c>
      <c r="I37" s="13">
        <v>1.025934986624751</v>
      </c>
      <c r="J37" s="13">
        <v>1.088646310071552</v>
      </c>
      <c r="K37" s="13">
        <v>0.09209147972248062</v>
      </c>
      <c r="L37" s="13">
        <v>0.706020135818737</v>
      </c>
      <c r="M37" s="13">
        <v>-0.5709954815461327</v>
      </c>
      <c r="N37" s="13">
        <v>21.7426</v>
      </c>
      <c r="O37" s="13">
        <v>2.6781864</v>
      </c>
      <c r="P37" s="15">
        <v>0.12584</v>
      </c>
      <c r="Q37" s="15">
        <v>0.441</v>
      </c>
      <c r="R37" s="15">
        <v>0.203713807215314</v>
      </c>
      <c r="S37" s="12">
        <v>74.92349295561721</v>
      </c>
      <c r="T37" s="10" t="s">
        <v>136</v>
      </c>
    </row>
    <row r="38" spans="1:20" x14ac:dyDescent="0.25">
      <c r="A38" s="12">
        <v>34</v>
      </c>
      <c r="B38" s="10" t="s">
        <v>166</v>
      </c>
      <c r="C38" s="10" t="s">
        <v>167</v>
      </c>
      <c r="D38" s="10" t="s">
        <v>48</v>
      </c>
      <c r="E38" s="11">
        <v>49.91999816894531</v>
      </c>
      <c r="F38" s="20">
        <v>0.3955166201400885</v>
      </c>
      <c r="G38" s="13">
        <v>0.3190129943001489</v>
      </c>
      <c r="H38" s="13">
        <v>-0.04431119898918571</v>
      </c>
      <c r="I38" s="13">
        <v>1.24285337166309</v>
      </c>
      <c r="J38" s="13">
        <v>0.7969238953376877</v>
      </c>
      <c r="K38" s="13">
        <v>-0.01502375436570473</v>
      </c>
      <c r="L38" s="13">
        <v>0.04804998572963944</v>
      </c>
      <c r="M38" s="13">
        <v>-0.240732267289722</v>
      </c>
      <c r="N38" s="13">
        <v>10.65342</v>
      </c>
      <c r="O38" s="13">
        <v>1.3292934</v>
      </c>
      <c r="P38" s="15">
        <v>0.11522</v>
      </c>
      <c r="Q38" s="15">
        <v>0.642</v>
      </c>
      <c r="R38" s="15">
        <v>0.1187412046852947</v>
      </c>
      <c r="S38" s="12">
        <v>59.96046600045739</v>
      </c>
      <c r="T38" s="10" t="s">
        <v>136</v>
      </c>
    </row>
    <row r="39" spans="1:20" x14ac:dyDescent="0.25">
      <c r="A39" s="12">
        <v>35</v>
      </c>
      <c r="B39" s="10" t="s">
        <v>168</v>
      </c>
      <c r="C39" s="10" t="s">
        <v>169</v>
      </c>
      <c r="D39" s="10" t="s">
        <v>63</v>
      </c>
      <c r="E39" s="11">
        <v>427.3999938964844</v>
      </c>
      <c r="F39" s="20">
        <v>0.3879338692574937</v>
      </c>
      <c r="G39" s="13">
        <v>0.2970607495888827</v>
      </c>
      <c r="H39" s="13">
        <v>-1.054613391281616</v>
      </c>
      <c r="I39" s="13">
        <v>0.1591049640981598</v>
      </c>
      <c r="J39" s="13">
        <v>1.733020161420015</v>
      </c>
      <c r="K39" s="13">
        <v>-0.1473110684646137</v>
      </c>
      <c r="L39" s="13">
        <v>-0.4257336278185164</v>
      </c>
      <c r="M39" s="13">
        <v>0.1325734748199665</v>
      </c>
      <c r="N39" s="13">
        <v>40.81947</v>
      </c>
      <c r="O39" s="13">
        <v>2.6991706</v>
      </c>
      <c r="P39" s="15">
        <v>0.06893000000000001</v>
      </c>
      <c r="Q39" s="15">
        <v>0.262</v>
      </c>
      <c r="R39" s="15">
        <v>1.159642837344081</v>
      </c>
      <c r="S39" s="12">
        <v>62.00128646866262</v>
      </c>
      <c r="T39" s="10" t="s">
        <v>136</v>
      </c>
    </row>
    <row r="40" spans="1:20" x14ac:dyDescent="0.25">
      <c r="A40" s="12">
        <v>36</v>
      </c>
      <c r="B40" s="10" t="s">
        <v>14</v>
      </c>
      <c r="C40" s="10" t="s">
        <v>69</v>
      </c>
      <c r="D40" s="10" t="s">
        <v>63</v>
      </c>
      <c r="E40" s="11">
        <v>111.5699996948242</v>
      </c>
      <c r="F40" s="20">
        <v>0.3847476415627792</v>
      </c>
      <c r="G40" s="13">
        <v>0.3787913962730532</v>
      </c>
      <c r="H40" s="13">
        <v>0.5071719458183616</v>
      </c>
      <c r="I40" s="13">
        <v>0.5122250580763105</v>
      </c>
      <c r="J40" s="13">
        <v>-0.05830769128455526</v>
      </c>
      <c r="K40" s="13">
        <v>1.735774746805685</v>
      </c>
      <c r="L40" s="13">
        <v>0.1382406635047936</v>
      </c>
      <c r="M40" s="13">
        <v>-0.1862491118317821</v>
      </c>
      <c r="N40" s="13">
        <v>14.368154</v>
      </c>
      <c r="O40" s="13">
        <v>3.572922</v>
      </c>
      <c r="P40" s="15">
        <v>0.30667</v>
      </c>
      <c r="Q40" s="15">
        <v>0.377</v>
      </c>
      <c r="R40" s="15">
        <v>0.1490216421018755</v>
      </c>
      <c r="S40" s="12">
        <v>34.99391983401442</v>
      </c>
      <c r="T40" s="10" t="s">
        <v>136</v>
      </c>
    </row>
    <row r="41" spans="1:20" x14ac:dyDescent="0.25">
      <c r="A41" s="12">
        <v>37</v>
      </c>
      <c r="B41" s="10" t="s">
        <v>170</v>
      </c>
      <c r="C41" s="10" t="s">
        <v>171</v>
      </c>
      <c r="D41" s="10" t="s">
        <v>63</v>
      </c>
      <c r="E41" s="11">
        <v>297.3500061035156</v>
      </c>
      <c r="F41" s="20">
        <v>0.3838247184468957</v>
      </c>
      <c r="G41" s="13">
        <v>-0.6750434006171774</v>
      </c>
      <c r="H41" s="13">
        <v>0.6516504181860266</v>
      </c>
      <c r="I41" s="13">
        <v>-0.01179628325654914</v>
      </c>
      <c r="J41" s="13">
        <v>1.790528600503205</v>
      </c>
      <c r="K41" s="13">
        <v>-0.3090550719377735</v>
      </c>
      <c r="L41" s="13">
        <v>-0.8280026110745325</v>
      </c>
      <c r="M41" s="13">
        <v>-0.6017965360009805</v>
      </c>
      <c r="N41" s="13">
        <v>48.545902</v>
      </c>
      <c r="O41" s="13">
        <v>6.605916</v>
      </c>
      <c r="P41" s="15">
        <v>0.14425</v>
      </c>
      <c r="Q41" s="15">
        <v>0.176</v>
      </c>
      <c r="R41" s="15">
        <v>0.777346088938947</v>
      </c>
      <c r="S41" s="12">
        <v>66.93181933307791</v>
      </c>
      <c r="T41" s="10" t="s">
        <v>136</v>
      </c>
    </row>
    <row r="42" spans="1:20" x14ac:dyDescent="0.25">
      <c r="A42" s="12">
        <v>38</v>
      </c>
      <c r="B42" s="10" t="s">
        <v>172</v>
      </c>
      <c r="C42" s="10" t="s">
        <v>173</v>
      </c>
      <c r="D42" s="10" t="s">
        <v>59</v>
      </c>
      <c r="E42" s="11">
        <v>603.239990234375</v>
      </c>
      <c r="F42" s="20">
        <v>0.3672650752951226</v>
      </c>
      <c r="G42" s="13">
        <v>-1.341725686078395</v>
      </c>
      <c r="H42" s="13">
        <v>2.889093849209865</v>
      </c>
      <c r="I42" s="13">
        <v>-0.1842355355782666</v>
      </c>
      <c r="J42" s="13">
        <v>0.5675987956162279</v>
      </c>
      <c r="K42" s="13">
        <v>-0.3219089000283558</v>
      </c>
      <c r="L42" s="13">
        <v>1.024002403499752</v>
      </c>
      <c r="M42" s="13">
        <v>-0.3518309802246099</v>
      </c>
      <c r="N42" s="13">
        <v>32.40594</v>
      </c>
      <c r="O42" s="13">
        <v>92.11069500000001</v>
      </c>
      <c r="P42" s="15">
        <v>2.41202</v>
      </c>
      <c r="Q42" s="15">
        <v>0.141</v>
      </c>
      <c r="R42" s="15">
        <v>0.1638726102948753</v>
      </c>
      <c r="S42" s="12">
        <v>70.36768024122347</v>
      </c>
      <c r="T42" s="10" t="s">
        <v>136</v>
      </c>
    </row>
    <row r="43" spans="1:20" x14ac:dyDescent="0.25">
      <c r="A43" s="12">
        <v>39</v>
      </c>
      <c r="B43" s="10" t="s">
        <v>174</v>
      </c>
      <c r="C43" s="10" t="s">
        <v>175</v>
      </c>
      <c r="D43" s="10" t="s">
        <v>68</v>
      </c>
      <c r="E43" s="11">
        <v>73.12999725341797</v>
      </c>
      <c r="F43" s="20">
        <v>0.3670164460944886</v>
      </c>
      <c r="G43" s="13">
        <v>0.4281951431088404</v>
      </c>
      <c r="H43" s="13">
        <v>1.839920832819933</v>
      </c>
      <c r="I43" s="13">
        <v>-0.6395167842697658</v>
      </c>
      <c r="J43" s="13">
        <v>0.5657338531163074</v>
      </c>
      <c r="K43" s="13">
        <v>-0.6807449342237767</v>
      </c>
      <c r="L43" s="13">
        <v>0.3739159694915301</v>
      </c>
      <c r="M43" s="13">
        <v>-0.6370007060855774</v>
      </c>
      <c r="N43" s="13">
        <v>15.090527</v>
      </c>
      <c r="O43" s="13">
        <v>-44.856068</v>
      </c>
      <c r="P43" s="15">
        <v>0</v>
      </c>
      <c r="Q43" s="15">
        <v>0.012</v>
      </c>
      <c r="R43" s="15">
        <v>0.1705850852388084</v>
      </c>
      <c r="S43" s="12">
        <v>72.05984684714561</v>
      </c>
      <c r="T43" s="10" t="s">
        <v>136</v>
      </c>
    </row>
    <row r="44" spans="1:20" x14ac:dyDescent="0.25">
      <c r="A44" s="12">
        <v>40</v>
      </c>
      <c r="B44" s="10" t="s">
        <v>176</v>
      </c>
      <c r="C44" s="10" t="s">
        <v>177</v>
      </c>
      <c r="D44" s="10" t="s">
        <v>48</v>
      </c>
      <c r="E44" s="11">
        <v>197.5099945068359</v>
      </c>
      <c r="F44" s="20">
        <v>0.3661560894885361</v>
      </c>
      <c r="G44" s="13">
        <v>0.578054316350588</v>
      </c>
      <c r="H44" s="13">
        <v>-0.04848410617494222</v>
      </c>
      <c r="I44" s="13">
        <v>1.554104829957849</v>
      </c>
      <c r="J44" s="13">
        <v>0.3933033463599815</v>
      </c>
      <c r="K44" s="13">
        <v>-0.1724831484753372</v>
      </c>
      <c r="L44" s="13">
        <v>0.008771521503207765</v>
      </c>
      <c r="M44" s="13">
        <v>0.2079246144561197</v>
      </c>
      <c r="N44" s="13">
        <v>36.59619</v>
      </c>
      <c r="O44" s="13">
        <v>1.4223108</v>
      </c>
      <c r="P44" s="15">
        <v>0.034930002</v>
      </c>
      <c r="Q44" s="15">
        <v>0.525</v>
      </c>
      <c r="R44" s="15">
        <v>0.07435304624468642</v>
      </c>
      <c r="S44" s="12">
        <v>58.19270011730175</v>
      </c>
      <c r="T44" s="10" t="s">
        <v>136</v>
      </c>
    </row>
  </sheetData>
  <autoFilter ref="A4:T44"/>
  <conditionalFormatting sqref="F5:F44">
    <cfRule type="dataBar" priority="1">
      <dataBar>
        <cfvo type="min"/>
        <cfvo type="max"/>
        <color rgb="FF7BA7F0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G5:M44">
    <cfRule type="colorScale" priority="2">
      <colorScale>
        <cfvo type="min" val="0"/>
        <cfvo type="percentile" val="50"/>
        <cfvo type="max" val="0"/>
        <color rgb="FFF8B4B4"/>
        <color rgb="FFFFFFFF"/>
        <color rgb="FFA7E8C0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7BA7F0"/>
              <x14:negativeFillColor rgb="FFFF0000"/>
              <x14:negativeBorderColor rgb="FFFF0000"/>
              <x14:axisColor rgb="FF000000"/>
            </x14:dataBar>
          </x14:cfRule>
          <xm:sqref>F5:F44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workbookViewId="0"/>
  </sheetViews>
  <sheetFormatPr defaultRowHeight="15" x14ac:dyDescent="0.25"/>
  <cols>
    <col min="1" max="1" width="16.7109375" customWidth="1"/>
    <col min="2" max="2" width="10.7109375" customWidth="1"/>
    <col min="3" max="3" width="74.7109375" customWidth="1"/>
  </cols>
  <sheetData>
    <row r="1" spans="1:3" x14ac:dyDescent="0.25">
      <c r="A1" s="1" t="s">
        <v>178</v>
      </c>
    </row>
    <row r="2" spans="1:3" x14ac:dyDescent="0.25">
      <c r="A2" s="2" t="s">
        <v>179</v>
      </c>
    </row>
    <row r="4" spans="1:3" x14ac:dyDescent="0.25">
      <c r="A4" s="9" t="s">
        <v>180</v>
      </c>
    </row>
    <row r="5" spans="1:3" ht="30" customHeight="1" x14ac:dyDescent="0.25">
      <c r="A5" s="18" t="s">
        <v>181</v>
      </c>
      <c r="B5" s="18" t="s">
        <v>182</v>
      </c>
      <c r="C5" s="18" t="s">
        <v>183</v>
      </c>
    </row>
    <row r="6" spans="1:3" x14ac:dyDescent="0.25">
      <c r="A6" s="10" t="s">
        <v>184</v>
      </c>
      <c r="B6" s="15">
        <v>0.18</v>
      </c>
      <c r="C6" s="10" t="s">
        <v>185</v>
      </c>
    </row>
    <row r="7" spans="1:3" x14ac:dyDescent="0.25">
      <c r="A7" s="10" t="s">
        <v>186</v>
      </c>
      <c r="B7" s="15">
        <v>0.16</v>
      </c>
      <c r="C7" s="10" t="s">
        <v>187</v>
      </c>
    </row>
    <row r="8" spans="1:3" x14ac:dyDescent="0.25">
      <c r="A8" s="10" t="s">
        <v>188</v>
      </c>
      <c r="B8" s="15">
        <v>0.1</v>
      </c>
      <c r="C8" s="10" t="s">
        <v>189</v>
      </c>
    </row>
    <row r="9" spans="1:3" x14ac:dyDescent="0.25">
      <c r="A9" s="10" t="s">
        <v>190</v>
      </c>
      <c r="B9" s="15">
        <v>0.3</v>
      </c>
      <c r="C9" s="10" t="s">
        <v>191</v>
      </c>
    </row>
    <row r="10" spans="1:3" x14ac:dyDescent="0.25">
      <c r="A10" s="10" t="s">
        <v>192</v>
      </c>
      <c r="B10" s="15">
        <v>0.12</v>
      </c>
      <c r="C10" s="10" t="s">
        <v>193</v>
      </c>
    </row>
    <row r="11" spans="1:3" x14ac:dyDescent="0.25">
      <c r="A11" s="10" t="s">
        <v>194</v>
      </c>
      <c r="B11" s="15">
        <v>0.06</v>
      </c>
      <c r="C11" s="10" t="s">
        <v>195</v>
      </c>
    </row>
    <row r="12" spans="1:3" x14ac:dyDescent="0.25">
      <c r="A12" s="10" t="s">
        <v>196</v>
      </c>
      <c r="B12" s="15">
        <v>0.08</v>
      </c>
      <c r="C12" s="10" t="s">
        <v>197</v>
      </c>
    </row>
    <row r="13" spans="1:3" x14ac:dyDescent="0.25">
      <c r="A13" s="16" t="s">
        <v>198</v>
      </c>
      <c r="B13" s="15">
        <f>SUM(B6:B12)</f>
        <v>0.9999999999999999</v>
      </c>
    </row>
    <row r="15" spans="1:3" x14ac:dyDescent="0.25">
      <c r="A15" s="9" t="s">
        <v>199</v>
      </c>
    </row>
    <row r="16" spans="1:3" x14ac:dyDescent="0.25">
      <c r="A16" s="17" t="s">
        <v>200</v>
      </c>
    </row>
    <row r="18" spans="1:7" x14ac:dyDescent="0.25">
      <c r="A18" s="9" t="s">
        <v>201</v>
      </c>
    </row>
    <row r="19" spans="1:7" x14ac:dyDescent="0.25">
      <c r="A19" s="17" t="s">
        <v>202</v>
      </c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</sheetData>
  <mergeCells count="1">
    <mergeCell ref="A19:G21"/>
  </mergeCells>
  <conditionalFormatting sqref="B6:B12">
    <cfRule type="dataBar" priority="1">
      <dataBar>
        <cfvo type="min"/>
        <cfvo type="max"/>
        <color rgb="FF7BA7F0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7BA7F0"/>
              <x14:negativeFillColor rgb="FFFF0000"/>
              <x14:negativeBorderColor rgb="FFFF0000"/>
              <x14:axisColor rgb="FF000000"/>
            </x14:dataBar>
          </x14:cfRule>
          <xm:sqref>B6:B12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B27"/>
  <sheetViews>
    <sheetView showGridLines="0" workbookViewId="0"/>
  </sheetViews>
  <sheetFormatPr defaultRowHeight="15"/>
  <cols>
    <col min="1" max="1" width="34.7109375" customWidth="1"/>
    <col min="2" max="2" width="86.7109375" customWidth="1"/>
  </cols>
  <sheetData>
    <row r="1" spans="1:2">
      <c r="A1" s="1" t="s">
        <v>229</v>
      </c>
    </row>
    <row r="3" spans="1:2">
      <c r="A3" s="9" t="s">
        <v>230</v>
      </c>
    </row>
    <row r="4" spans="1:2">
      <c r="A4" s="10" t="s">
        <v>231</v>
      </c>
      <c r="B4" s="10" t="s">
        <v>232</v>
      </c>
    </row>
    <row r="5" spans="1:2">
      <c r="A5" s="10" t="s">
        <v>233</v>
      </c>
      <c r="B5" s="10" t="s">
        <v>117</v>
      </c>
    </row>
    <row r="6" spans="1:2">
      <c r="A6" s="10" t="s">
        <v>234</v>
      </c>
      <c r="B6" s="10" t="s">
        <v>235</v>
      </c>
    </row>
    <row r="7" spans="1:2">
      <c r="A7" s="10" t="s">
        <v>236</v>
      </c>
      <c r="B7" s="10" t="s">
        <v>237</v>
      </c>
    </row>
    <row r="8" spans="1:2">
      <c r="A8" s="10" t="s">
        <v>238</v>
      </c>
      <c r="B8" s="10" t="s">
        <v>137</v>
      </c>
    </row>
    <row r="9" spans="1:2">
      <c r="A9" s="10" t="s">
        <v>239</v>
      </c>
      <c r="B9" s="10" t="s">
        <v>44</v>
      </c>
    </row>
    <row r="10" spans="1:2">
      <c r="A10" s="10" t="s">
        <v>240</v>
      </c>
      <c r="B10" s="10" t="s">
        <v>241</v>
      </c>
    </row>
    <row r="11" spans="1:2">
      <c r="A11" s="10" t="s">
        <v>242</v>
      </c>
      <c r="B11" s="10" t="s">
        <v>243</v>
      </c>
    </row>
    <row r="12" spans="1:2">
      <c r="A12" s="10" t="s">
        <v>244</v>
      </c>
      <c r="B12" s="10" t="s">
        <v>245</v>
      </c>
    </row>
    <row r="13" spans="1:2">
      <c r="A13" s="10" t="s">
        <v>246</v>
      </c>
      <c r="B13" s="10" t="s">
        <v>247</v>
      </c>
    </row>
    <row r="14" spans="1:2">
      <c r="A14" s="10" t="s">
        <v>248</v>
      </c>
      <c r="B14" s="10" t="s">
        <v>243</v>
      </c>
    </row>
    <row r="16" spans="1:2">
      <c r="A16" s="9" t="s">
        <v>249</v>
      </c>
    </row>
    <row r="17" spans="1:2" ht="30" customHeight="1">
      <c r="A17" s="16" t="s">
        <v>250</v>
      </c>
      <c r="B17" s="17" t="s">
        <v>251</v>
      </c>
    </row>
    <row r="18" spans="1:2" ht="30" customHeight="1">
      <c r="A18" s="16" t="s">
        <v>252</v>
      </c>
      <c r="B18" s="17" t="s">
        <v>253</v>
      </c>
    </row>
    <row r="19" spans="1:2" ht="30" customHeight="1">
      <c r="A19" s="16" t="s">
        <v>254</v>
      </c>
      <c r="B19" s="17" t="s">
        <v>255</v>
      </c>
    </row>
    <row r="20" spans="1:2" ht="30" customHeight="1">
      <c r="A20" s="16" t="s">
        <v>256</v>
      </c>
      <c r="B20" s="17" t="s">
        <v>257</v>
      </c>
    </row>
    <row r="22" spans="1:2">
      <c r="A22" s="9" t="s">
        <v>258</v>
      </c>
    </row>
    <row r="23" spans="1:2" ht="32" customHeight="1">
      <c r="A23" s="26" t="s">
        <v>259</v>
      </c>
      <c r="B23" s="26"/>
    </row>
    <row r="24" spans="1:2" ht="32" customHeight="1">
      <c r="A24" s="26" t="s">
        <v>260</v>
      </c>
      <c r="B24" s="26"/>
    </row>
    <row r="25" spans="1:2" ht="32" customHeight="1">
      <c r="A25" s="26" t="s">
        <v>261</v>
      </c>
      <c r="B25" s="26"/>
    </row>
    <row r="26" spans="1:2" ht="32" customHeight="1">
      <c r="A26" s="26" t="s">
        <v>262</v>
      </c>
      <c r="B26" s="26"/>
    </row>
    <row r="27" spans="1:2" ht="32" customHeight="1">
      <c r="A27" s="26" t="s">
        <v>263</v>
      </c>
      <c r="B27" s="26"/>
    </row>
  </sheetData>
  <mergeCells count="5">
    <mergeCell ref="A23:B23"/>
    <mergeCell ref="A24:B24"/>
    <mergeCell ref="A25:B25"/>
    <mergeCell ref="A26:B26"/>
    <mergeCell ref="A27:B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21"/>
  <sheetViews>
    <sheetView workbookViewId="0"/>
  </sheetViews>
  <sheetFormatPr defaultRowHeight="15"/>
  <sheetData>
    <row r="1" spans="1:60">
      <c r="A1" t="s">
        <v>0</v>
      </c>
      <c r="B1">
        <v>1610.329956054688</v>
      </c>
      <c r="C1">
        <v>1436.56005859375</v>
      </c>
      <c r="D1">
        <v>1278.22998046875</v>
      </c>
      <c r="E1">
        <v>1096.099975585938</v>
      </c>
      <c r="F1">
        <v>1015.890014648438</v>
      </c>
      <c r="G1">
        <v>1279.9599609375</v>
      </c>
      <c r="H1">
        <v>1214.829956054688</v>
      </c>
      <c r="I1">
        <v>1288.030029296875</v>
      </c>
      <c r="J1">
        <v>1427.619995117188</v>
      </c>
      <c r="K1">
        <v>1350.5</v>
      </c>
      <c r="L1">
        <v>1258.579956054688</v>
      </c>
      <c r="M1">
        <v>1212.2099609375</v>
      </c>
      <c r="N1">
        <v>1237.920043945312</v>
      </c>
      <c r="O1">
        <v>1271.050048828125</v>
      </c>
      <c r="P1">
        <v>1344.2900390625</v>
      </c>
      <c r="Q1">
        <v>1528.109985351562</v>
      </c>
      <c r="R1">
        <v>1641.109985351562</v>
      </c>
      <c r="S1">
        <v>1786.849975585938</v>
      </c>
      <c r="T1">
        <v>1625.780029296875</v>
      </c>
      <c r="U1">
        <v>1568.869995117188</v>
      </c>
      <c r="V1">
        <v>1600.619995117188</v>
      </c>
      <c r="W1">
        <v>1596.079956054688</v>
      </c>
      <c r="X1">
        <v>1493.119995117188</v>
      </c>
      <c r="Y1">
        <v>1480.77001953125</v>
      </c>
      <c r="Z1">
        <v>1499.369995117188</v>
      </c>
      <c r="AA1">
        <v>1484.949951171875</v>
      </c>
      <c r="AB1">
        <v>1484.97998046875</v>
      </c>
      <c r="AC1">
        <v>1566.699951171875</v>
      </c>
      <c r="AD1">
        <v>1536.869995117188</v>
      </c>
      <c r="AE1">
        <v>1553.400024414062</v>
      </c>
      <c r="AF1">
        <v>1554.989990234375</v>
      </c>
      <c r="AG1">
        <v>1740</v>
      </c>
      <c r="AH1">
        <v>1737.989990234375</v>
      </c>
      <c r="AI1">
        <v>1764.170043945312</v>
      </c>
      <c r="AJ1">
        <v>1692.589965820312</v>
      </c>
      <c r="AK1">
        <v>1633.349975585938</v>
      </c>
      <c r="AL1">
        <v>1551.989990234375</v>
      </c>
      <c r="AM1">
        <v>1530.89501953125</v>
      </c>
      <c r="AN1">
        <v>1519.969970703125</v>
      </c>
      <c r="AO1">
        <v>1614.390014648438</v>
      </c>
      <c r="AP1">
        <v>1791.819946289062</v>
      </c>
      <c r="AQ1">
        <v>1766.640014648438</v>
      </c>
      <c r="AR1">
        <v>1887.0400390625</v>
      </c>
      <c r="AS1">
        <v>1816.569946289062</v>
      </c>
      <c r="AT1">
        <v>1753.619995117188</v>
      </c>
      <c r="AU1">
        <v>1777.800048828125</v>
      </c>
      <c r="AV1">
        <v>1712.890014648438</v>
      </c>
      <c r="AW1">
        <v>1729.760009765625</v>
      </c>
      <c r="AX1">
        <v>1739.890014648438</v>
      </c>
      <c r="AY1">
        <v>1787.68994140625</v>
      </c>
      <c r="AZ1">
        <v>1719.989990234375</v>
      </c>
      <c r="BA1">
        <v>1704.160034179688</v>
      </c>
      <c r="BB1">
        <v>1660.4599609375</v>
      </c>
      <c r="BC1">
        <v>1692.420043945312</v>
      </c>
      <c r="BD1">
        <v>1609.4599609375</v>
      </c>
      <c r="BE1">
        <v>1581.819946289062</v>
      </c>
      <c r="BF1">
        <v>1487.329956054688</v>
      </c>
      <c r="BG1">
        <v>1482.329956054688</v>
      </c>
      <c r="BH1">
        <v>1403.339965820312</v>
      </c>
    </row>
    <row r="2" spans="1:60">
      <c r="A2" t="s">
        <v>1</v>
      </c>
      <c r="B2">
        <v>558.120849609375</v>
      </c>
      <c r="C2">
        <v>519.6331787109375</v>
      </c>
      <c r="D2">
        <v>497.7602233886719</v>
      </c>
      <c r="E2">
        <v>463.3612670898438</v>
      </c>
      <c r="F2">
        <v>461.8917236328125</v>
      </c>
      <c r="G2">
        <v>532.868896484375</v>
      </c>
      <c r="H2">
        <v>544.6651611328125</v>
      </c>
      <c r="I2">
        <v>527.05078125</v>
      </c>
      <c r="J2">
        <v>548.3839721679688</v>
      </c>
      <c r="K2">
        <v>519.0033569335938</v>
      </c>
      <c r="L2">
        <v>451.3750915527344</v>
      </c>
      <c r="M2">
        <v>434.1606140136719</v>
      </c>
      <c r="N2">
        <v>438.1993408203125</v>
      </c>
      <c r="O2">
        <v>437.7894592285156</v>
      </c>
      <c r="P2">
        <v>453.9542846679688</v>
      </c>
      <c r="Q2">
        <v>487.1336364746094</v>
      </c>
      <c r="R2">
        <v>508.63671875</v>
      </c>
      <c r="S2">
        <v>535.8380126953125</v>
      </c>
      <c r="T2">
        <v>496.0007934570312</v>
      </c>
      <c r="U2">
        <v>461.9417114257812</v>
      </c>
      <c r="V2">
        <v>468.8994750976562</v>
      </c>
      <c r="W2">
        <v>459.2925720214844</v>
      </c>
      <c r="X2">
        <v>435.2402954101562</v>
      </c>
      <c r="Y2">
        <v>450.6053466796875</v>
      </c>
      <c r="Z2">
        <v>468.7295227050781</v>
      </c>
      <c r="AA2">
        <v>461.8517456054688</v>
      </c>
      <c r="AB2">
        <v>459.3025817871094</v>
      </c>
      <c r="AC2">
        <v>450.4053955078125</v>
      </c>
      <c r="AD2">
        <v>450.2954406738281</v>
      </c>
      <c r="AE2">
        <v>448.7559509277344</v>
      </c>
      <c r="AF2">
        <v>441.4283142089844</v>
      </c>
      <c r="AG2">
        <v>467.3099670410156</v>
      </c>
      <c r="AH2">
        <v>477.2999877929688</v>
      </c>
      <c r="AI2">
        <v>482.2799987792969</v>
      </c>
      <c r="AJ2">
        <v>460.9299926757812</v>
      </c>
      <c r="AK2">
        <v>447.1799926757812</v>
      </c>
      <c r="AL2">
        <v>426.9400024414062</v>
      </c>
      <c r="AM2">
        <v>411.9599914550781</v>
      </c>
      <c r="AN2">
        <v>416.9700012207031</v>
      </c>
      <c r="AO2">
        <v>423.8699951171875</v>
      </c>
      <c r="AP2">
        <v>441.3599853515625</v>
      </c>
      <c r="AQ2">
        <v>448.1700134277344</v>
      </c>
      <c r="AR2">
        <v>464.6000061035156</v>
      </c>
      <c r="AS2">
        <v>473.6900024414062</v>
      </c>
      <c r="AT2">
        <v>450.3099975585938</v>
      </c>
      <c r="AU2">
        <v>456.8099975585938</v>
      </c>
      <c r="AV2">
        <v>453.2300109863281</v>
      </c>
      <c r="AW2">
        <v>453.4800109863281</v>
      </c>
      <c r="AX2">
        <v>454.4599914550781</v>
      </c>
      <c r="AY2">
        <v>462.5599975585938</v>
      </c>
      <c r="AZ2">
        <v>415.2900085449219</v>
      </c>
      <c r="BA2">
        <v>441.6400146484375</v>
      </c>
      <c r="BB2">
        <v>411.0400085449219</v>
      </c>
      <c r="BC2">
        <v>405.4200134277344</v>
      </c>
      <c r="BD2">
        <v>393.3099975585938</v>
      </c>
      <c r="BE2">
        <v>397.2799987792969</v>
      </c>
      <c r="BF2">
        <v>386.9400024414062</v>
      </c>
      <c r="BG2">
        <v>380.7099914550781</v>
      </c>
      <c r="BH2">
        <v>364.1000061035156</v>
      </c>
    </row>
    <row r="3" spans="1:60">
      <c r="A3" t="s">
        <v>2</v>
      </c>
      <c r="B3">
        <v>304.0848388671875</v>
      </c>
      <c r="C3">
        <v>301.33544921875</v>
      </c>
      <c r="D3">
        <v>303.756103515625</v>
      </c>
      <c r="E3">
        <v>297.7294006347656</v>
      </c>
      <c r="F3">
        <v>300.1600036621094</v>
      </c>
      <c r="G3">
        <v>310.5099792480469</v>
      </c>
      <c r="H3">
        <v>312.8999938964844</v>
      </c>
      <c r="I3">
        <v>307.5400085449219</v>
      </c>
      <c r="J3">
        <v>308.7300109863281</v>
      </c>
      <c r="K3">
        <v>302.3900146484375</v>
      </c>
      <c r="L3">
        <v>302.989990234375</v>
      </c>
      <c r="M3">
        <v>298.3099975585938</v>
      </c>
      <c r="N3">
        <v>314.9500122070312</v>
      </c>
      <c r="O3">
        <v>323.9200134277344</v>
      </c>
      <c r="P3">
        <v>330.2099914550781</v>
      </c>
      <c r="Q3">
        <v>342.9200134277344</v>
      </c>
      <c r="R3">
        <v>341.6700134277344</v>
      </c>
      <c r="S3">
        <v>347.1900024414062</v>
      </c>
      <c r="T3">
        <v>350.0499877929688</v>
      </c>
      <c r="U3">
        <v>346.260009765625</v>
      </c>
      <c r="V3">
        <v>341.510009765625</v>
      </c>
      <c r="W3">
        <v>348.8599853515625</v>
      </c>
      <c r="X3">
        <v>346</v>
      </c>
      <c r="Y3">
        <v>340.4100036621094</v>
      </c>
      <c r="Z3">
        <v>348.0299987792969</v>
      </c>
      <c r="AA3">
        <v>346.5899963378906</v>
      </c>
      <c r="AB3">
        <v>352.3599853515625</v>
      </c>
      <c r="AC3">
        <v>358.9200134277344</v>
      </c>
      <c r="AD3">
        <v>361.989990234375</v>
      </c>
      <c r="AE3">
        <v>366.0899963378906</v>
      </c>
      <c r="AF3">
        <v>370.6900024414062</v>
      </c>
      <c r="AG3">
        <v>370.7200012207031</v>
      </c>
      <c r="AH3">
        <v>382.8500061035156</v>
      </c>
      <c r="AI3">
        <v>388.9500122070312</v>
      </c>
      <c r="AJ3">
        <v>385.4299926757812</v>
      </c>
      <c r="AK3">
        <v>390.4200134277344</v>
      </c>
      <c r="AL3">
        <v>382.9500122070312</v>
      </c>
      <c r="AM3">
        <v>397.0400085449219</v>
      </c>
      <c r="AN3">
        <v>403.2799987792969</v>
      </c>
      <c r="AO3">
        <v>412.5299987792969</v>
      </c>
      <c r="AP3">
        <v>413.2799987792969</v>
      </c>
      <c r="AQ3">
        <v>393.2699890136719</v>
      </c>
      <c r="AR3">
        <v>377.1400146484375</v>
      </c>
      <c r="AS3">
        <v>375.8399963378906</v>
      </c>
      <c r="AT3">
        <v>382.8599853515625</v>
      </c>
      <c r="AU3">
        <v>387.1799926757812</v>
      </c>
      <c r="AV3">
        <v>389.5700073242188</v>
      </c>
      <c r="AW3">
        <v>387.7200012207031</v>
      </c>
      <c r="AX3">
        <v>387.6099853515625</v>
      </c>
      <c r="AY3">
        <v>408.4599914550781</v>
      </c>
      <c r="AZ3">
        <v>406.2999877929688</v>
      </c>
      <c r="BA3">
        <v>419.3299865722656</v>
      </c>
      <c r="BB3">
        <v>419.2200012207031</v>
      </c>
      <c r="BC3">
        <v>424.1000061035156</v>
      </c>
      <c r="BD3">
        <v>443.7999877929688</v>
      </c>
      <c r="BE3">
        <v>433.75</v>
      </c>
      <c r="BF3">
        <v>436</v>
      </c>
      <c r="BG3">
        <v>456.4599914550781</v>
      </c>
      <c r="BH3">
        <v>459.7799987792969</v>
      </c>
    </row>
    <row r="4" spans="1:60">
      <c r="A4" t="s">
        <v>3</v>
      </c>
      <c r="B4">
        <v>311.4172973632812</v>
      </c>
      <c r="C4">
        <v>308.3955688476562</v>
      </c>
      <c r="D4">
        <v>311.4970703125</v>
      </c>
      <c r="E4">
        <v>305.2142639160156</v>
      </c>
      <c r="F4">
        <v>307.8769836425781</v>
      </c>
      <c r="G4">
        <v>313.2223510742188</v>
      </c>
      <c r="H4">
        <v>315.6058349609375</v>
      </c>
      <c r="I4">
        <v>306.1915893554688</v>
      </c>
      <c r="J4">
        <v>311.75634765625</v>
      </c>
      <c r="K4">
        <v>296.9369506835938</v>
      </c>
      <c r="L4">
        <v>298.432861328125</v>
      </c>
      <c r="M4">
        <v>297.3857421875</v>
      </c>
      <c r="N4">
        <v>319.4453125</v>
      </c>
      <c r="O4">
        <v>335.5013732910156</v>
      </c>
      <c r="P4">
        <v>347.2990417480469</v>
      </c>
      <c r="Q4">
        <v>355.3968811035156</v>
      </c>
      <c r="R4">
        <v>354.4494934082031</v>
      </c>
      <c r="S4">
        <v>357.2019348144531</v>
      </c>
      <c r="T4">
        <v>365.2099914550781</v>
      </c>
      <c r="U4">
        <v>360.75</v>
      </c>
      <c r="V4">
        <v>358.2300109863281</v>
      </c>
      <c r="W4">
        <v>360.7200012207031</v>
      </c>
      <c r="X4">
        <v>362.5199890136719</v>
      </c>
      <c r="Y4">
        <v>354.8800048828125</v>
      </c>
      <c r="Z4">
        <v>362.2699890136719</v>
      </c>
      <c r="AA4">
        <v>363.5400085449219</v>
      </c>
      <c r="AB4">
        <v>368.8299865722656</v>
      </c>
      <c r="AC4">
        <v>373.3200073242188</v>
      </c>
      <c r="AD4">
        <v>383</v>
      </c>
      <c r="AE4">
        <v>387</v>
      </c>
      <c r="AF4">
        <v>387.7099914550781</v>
      </c>
      <c r="AG4">
        <v>388.8999938964844</v>
      </c>
      <c r="AH4">
        <v>397.7699890136719</v>
      </c>
      <c r="AI4">
        <v>399.4400024414062</v>
      </c>
      <c r="AJ4">
        <v>392.4200134277344</v>
      </c>
      <c r="AK4">
        <v>395.9299926757812</v>
      </c>
      <c r="AL4">
        <v>396.4500122070312</v>
      </c>
      <c r="AM4">
        <v>410.8399963378906</v>
      </c>
      <c r="AN4">
        <v>413.9200134277344</v>
      </c>
      <c r="AO4">
        <v>421.9599914550781</v>
      </c>
      <c r="AP4">
        <v>424.8900146484375</v>
      </c>
      <c r="AQ4">
        <v>402.3800048828125</v>
      </c>
      <c r="AR4">
        <v>389.6799926757812</v>
      </c>
      <c r="AS4">
        <v>388.3800048828125</v>
      </c>
      <c r="AT4">
        <v>390.9500122070312</v>
      </c>
      <c r="AU4">
        <v>393.5199890136719</v>
      </c>
      <c r="AV4">
        <v>389.4400024414062</v>
      </c>
      <c r="AW4">
        <v>392.0299987792969</v>
      </c>
      <c r="AX4">
        <v>395.4200134277344</v>
      </c>
      <c r="AY4">
        <v>420.1499938964844</v>
      </c>
      <c r="AZ4">
        <v>422.3299865722656</v>
      </c>
      <c r="BA4">
        <v>433.4700012207031</v>
      </c>
      <c r="BB4">
        <v>432.3599853515625</v>
      </c>
      <c r="BC4">
        <v>442.260009765625</v>
      </c>
      <c r="BD4">
        <v>463.3399963378906</v>
      </c>
      <c r="BE4">
        <v>455.0299987792969</v>
      </c>
      <c r="BF4">
        <v>458.8099975585938</v>
      </c>
      <c r="BG4">
        <v>476.9800109863281</v>
      </c>
      <c r="BH4">
        <v>484.9200134277344</v>
      </c>
    </row>
    <row r="5" spans="1:60">
      <c r="A5" t="s">
        <v>4</v>
      </c>
      <c r="B5">
        <v>57.33689880371094</v>
      </c>
      <c r="C5">
        <v>57.03827285766602</v>
      </c>
      <c r="D5">
        <v>54.67909622192383</v>
      </c>
      <c r="E5">
        <v>53.68366622924805</v>
      </c>
      <c r="F5">
        <v>55.77407073974609</v>
      </c>
      <c r="G5">
        <v>55.69443893432617</v>
      </c>
      <c r="H5">
        <v>56.80932235717773</v>
      </c>
      <c r="I5">
        <v>55.21663284301758</v>
      </c>
      <c r="J5">
        <v>54.8383674621582</v>
      </c>
      <c r="K5">
        <v>53.56421279907227</v>
      </c>
      <c r="L5">
        <v>55.78402709960938</v>
      </c>
      <c r="M5">
        <v>55.65462112426758</v>
      </c>
      <c r="N5">
        <v>58.38210678100586</v>
      </c>
      <c r="O5">
        <v>58.79023361206055</v>
      </c>
      <c r="P5">
        <v>58.28256225585938</v>
      </c>
      <c r="Q5">
        <v>57.43644714355469</v>
      </c>
      <c r="R5">
        <v>58.09342956542969</v>
      </c>
      <c r="S5">
        <v>58.77032470703125</v>
      </c>
      <c r="T5">
        <v>59.52685165405273</v>
      </c>
      <c r="U5">
        <v>59.81552886962891</v>
      </c>
      <c r="V5">
        <v>61.23899841308594</v>
      </c>
      <c r="W5">
        <v>61.02000045776367</v>
      </c>
      <c r="X5">
        <v>59.8354377746582</v>
      </c>
      <c r="Y5">
        <v>58.1431999206543</v>
      </c>
      <c r="Z5">
        <v>58.35224151611328</v>
      </c>
      <c r="AA5">
        <v>58.89972686767578</v>
      </c>
      <c r="AB5">
        <v>58.83004760742188</v>
      </c>
      <c r="AC5">
        <v>59.90511703491211</v>
      </c>
      <c r="AD5">
        <v>60.67160034179688</v>
      </c>
      <c r="AE5">
        <v>60.63178253173828</v>
      </c>
      <c r="AF5">
        <v>60.33315277099609</v>
      </c>
      <c r="AG5">
        <v>59.7657585144043</v>
      </c>
      <c r="AH5">
        <v>60.37297058105469</v>
      </c>
      <c r="AI5">
        <v>61.02000045776367</v>
      </c>
      <c r="AJ5">
        <v>61.15999984741211</v>
      </c>
      <c r="AK5">
        <v>61.45999908447266</v>
      </c>
      <c r="AL5">
        <v>61.77999877929688</v>
      </c>
      <c r="AM5">
        <v>63.52000045776367</v>
      </c>
      <c r="AN5">
        <v>59.36000061035156</v>
      </c>
      <c r="AO5">
        <v>59.29000091552734</v>
      </c>
      <c r="AP5">
        <v>58.84000015258789</v>
      </c>
      <c r="AQ5">
        <v>57.25</v>
      </c>
      <c r="AR5">
        <v>56.31000137329102</v>
      </c>
      <c r="AS5">
        <v>57.36000061035156</v>
      </c>
      <c r="AT5">
        <v>58.04999923706055</v>
      </c>
      <c r="AU5">
        <v>56.86000061035156</v>
      </c>
      <c r="AV5">
        <v>56.09999847412109</v>
      </c>
      <c r="AW5">
        <v>54.93999862670898</v>
      </c>
      <c r="AX5">
        <v>55.31999969482422</v>
      </c>
      <c r="AY5">
        <v>57.84000015258789</v>
      </c>
      <c r="AZ5">
        <v>58.08000183105469</v>
      </c>
      <c r="BA5">
        <v>58.31000137329102</v>
      </c>
      <c r="BB5">
        <v>58.33000183105469</v>
      </c>
      <c r="BC5">
        <v>58.20999908447266</v>
      </c>
      <c r="BD5">
        <v>60.27999877929688</v>
      </c>
      <c r="BE5">
        <v>60.11000061035156</v>
      </c>
      <c r="BF5">
        <v>61.13000106811523</v>
      </c>
      <c r="BG5">
        <v>61.65000152587891</v>
      </c>
      <c r="BH5">
        <v>61.40999984741211</v>
      </c>
    </row>
    <row r="6" spans="1:60">
      <c r="A6" t="s">
        <v>5</v>
      </c>
      <c r="B6">
        <v>205.8872375488281</v>
      </c>
      <c r="C6">
        <v>205.6783599853516</v>
      </c>
      <c r="D6">
        <v>206.7228088378906</v>
      </c>
      <c r="E6">
        <v>204.7632141113281</v>
      </c>
      <c r="F6">
        <v>205.7181396484375</v>
      </c>
      <c r="G6">
        <v>209.4881286621094</v>
      </c>
      <c r="H6">
        <v>210.5624237060547</v>
      </c>
      <c r="I6">
        <v>205.1014099121094</v>
      </c>
      <c r="J6">
        <v>204.8029937744141</v>
      </c>
      <c r="K6">
        <v>201.4806365966797</v>
      </c>
      <c r="L6">
        <v>204.4349517822266</v>
      </c>
      <c r="M6">
        <v>202.8334503173828</v>
      </c>
      <c r="N6">
        <v>214.3821563720703</v>
      </c>
      <c r="O6">
        <v>223.1754760742188</v>
      </c>
      <c r="P6">
        <v>224.3890380859375</v>
      </c>
      <c r="Q6">
        <v>231.3819274902344</v>
      </c>
      <c r="R6">
        <v>232.3766479492188</v>
      </c>
      <c r="S6">
        <v>239.2800140380859</v>
      </c>
      <c r="T6">
        <v>243.4900054931641</v>
      </c>
      <c r="U6">
        <v>242.2899932861328</v>
      </c>
      <c r="V6">
        <v>240</v>
      </c>
      <c r="W6">
        <v>242.8699951171875</v>
      </c>
      <c r="X6">
        <v>241.9600067138672</v>
      </c>
      <c r="Y6">
        <v>236.8999938964844</v>
      </c>
      <c r="Z6">
        <v>242.2299957275391</v>
      </c>
      <c r="AA6">
        <v>239.8099975585938</v>
      </c>
      <c r="AB6">
        <v>244.0099945068359</v>
      </c>
      <c r="AC6">
        <v>246.5800018310547</v>
      </c>
      <c r="AD6">
        <v>252.0200042724609</v>
      </c>
      <c r="AE6">
        <v>256.0899963378906</v>
      </c>
      <c r="AF6">
        <v>254.6600036621094</v>
      </c>
      <c r="AG6">
        <v>255.0899963378906</v>
      </c>
      <c r="AH6">
        <v>259.1400146484375</v>
      </c>
      <c r="AI6">
        <v>260.7799987792969</v>
      </c>
      <c r="AJ6">
        <v>258.510009765625</v>
      </c>
      <c r="AK6">
        <v>259.4700012207031</v>
      </c>
      <c r="AL6">
        <v>257.0599975585938</v>
      </c>
      <c r="AM6">
        <v>264.9299926757812</v>
      </c>
      <c r="AN6">
        <v>264.6300048828125</v>
      </c>
      <c r="AO6">
        <v>274.2099914550781</v>
      </c>
      <c r="AP6">
        <v>273.1300048828125</v>
      </c>
      <c r="AQ6">
        <v>261.75</v>
      </c>
      <c r="AR6">
        <v>256.7799987792969</v>
      </c>
      <c r="AS6">
        <v>256.4800109863281</v>
      </c>
      <c r="AT6">
        <v>255.8699951171875</v>
      </c>
      <c r="AU6">
        <v>255.75</v>
      </c>
      <c r="AV6">
        <v>253.5500030517578</v>
      </c>
      <c r="AW6">
        <v>252.25</v>
      </c>
      <c r="AX6">
        <v>255.3099975585938</v>
      </c>
      <c r="AY6">
        <v>264.2300109863281</v>
      </c>
      <c r="AZ6">
        <v>264.5799865722656</v>
      </c>
      <c r="BA6">
        <v>269.7200012207031</v>
      </c>
      <c r="BB6">
        <v>269.7900085449219</v>
      </c>
      <c r="BC6">
        <v>271.6199951171875</v>
      </c>
      <c r="BD6">
        <v>281.6000061035156</v>
      </c>
      <c r="BE6">
        <v>278.1799926757812</v>
      </c>
      <c r="BF6">
        <v>281.4700012207031</v>
      </c>
      <c r="BG6">
        <v>292.7300109863281</v>
      </c>
      <c r="BH6">
        <v>297.2900085449219</v>
      </c>
    </row>
    <row r="7" spans="1:60">
      <c r="A7" t="s">
        <v>6</v>
      </c>
      <c r="B7">
        <v>36.41999816894531</v>
      </c>
      <c r="C7">
        <v>36.15000152587891</v>
      </c>
      <c r="D7">
        <v>34.7400016784668</v>
      </c>
      <c r="E7">
        <v>34.93000030517578</v>
      </c>
      <c r="F7">
        <v>36.70000076293945</v>
      </c>
      <c r="G7">
        <v>36.33000183105469</v>
      </c>
      <c r="H7">
        <v>37.31999969482422</v>
      </c>
      <c r="I7">
        <v>36.86999893188477</v>
      </c>
      <c r="J7">
        <v>35.79999923706055</v>
      </c>
      <c r="K7">
        <v>34.65999984741211</v>
      </c>
      <c r="L7">
        <v>36.52999877929688</v>
      </c>
      <c r="M7">
        <v>37.63000106811523</v>
      </c>
      <c r="N7">
        <v>41.02000045776367</v>
      </c>
      <c r="O7">
        <v>40.61999893188477</v>
      </c>
      <c r="P7">
        <v>39.97000122070312</v>
      </c>
      <c r="Q7">
        <v>40</v>
      </c>
      <c r="R7">
        <v>40.47000122070312</v>
      </c>
      <c r="S7">
        <v>41.58000183105469</v>
      </c>
      <c r="T7">
        <v>42.36999893188477</v>
      </c>
      <c r="U7">
        <v>43.45000076293945</v>
      </c>
      <c r="V7">
        <v>44.38999938964844</v>
      </c>
      <c r="W7">
        <v>43.38999938964844</v>
      </c>
      <c r="X7">
        <v>42.95999908447266</v>
      </c>
      <c r="Y7">
        <v>41.34999847412109</v>
      </c>
      <c r="Z7">
        <v>41.18999862670898</v>
      </c>
      <c r="AA7">
        <v>42.38000106811523</v>
      </c>
      <c r="AB7">
        <v>42.54000091552734</v>
      </c>
      <c r="AC7">
        <v>43.15000152587891</v>
      </c>
      <c r="AD7">
        <v>44.29999923706055</v>
      </c>
      <c r="AE7">
        <v>44.70000076293945</v>
      </c>
      <c r="AF7">
        <v>44.18000030517578</v>
      </c>
      <c r="AG7">
        <v>42.77000045776367</v>
      </c>
      <c r="AH7">
        <v>43.54999923706055</v>
      </c>
      <c r="AI7">
        <v>44.84000015258789</v>
      </c>
      <c r="AJ7">
        <v>44.52999877929688</v>
      </c>
      <c r="AK7">
        <v>44.72999954223633</v>
      </c>
      <c r="AL7">
        <v>45.02999877929688</v>
      </c>
      <c r="AM7">
        <v>47.40999984741211</v>
      </c>
      <c r="AN7">
        <v>44.79000091552734</v>
      </c>
      <c r="AO7">
        <v>45.45999908447266</v>
      </c>
      <c r="AP7">
        <v>44.86999893188477</v>
      </c>
      <c r="AQ7">
        <v>43.81000137329102</v>
      </c>
      <c r="AR7">
        <v>42.29999923706055</v>
      </c>
      <c r="AS7">
        <v>43.70000076293945</v>
      </c>
      <c r="AT7">
        <v>43.68000030517578</v>
      </c>
      <c r="AU7">
        <v>42.7400016784668</v>
      </c>
      <c r="AV7">
        <v>42.33000183105469</v>
      </c>
      <c r="AW7">
        <v>42.18999862670898</v>
      </c>
      <c r="AX7">
        <v>41.54000091552734</v>
      </c>
      <c r="AY7">
        <v>43.34000015258789</v>
      </c>
      <c r="AZ7">
        <v>43.68000030517578</v>
      </c>
      <c r="BA7">
        <v>43.84999847412109</v>
      </c>
      <c r="BB7">
        <v>44.09999847412109</v>
      </c>
      <c r="BC7">
        <v>43.81000137329102</v>
      </c>
      <c r="BD7">
        <v>45.47000122070312</v>
      </c>
      <c r="BE7">
        <v>45.88000106811523</v>
      </c>
      <c r="BF7">
        <v>46.84000015258789</v>
      </c>
      <c r="BG7">
        <v>48.0099983215332</v>
      </c>
      <c r="BH7">
        <v>47.36999893188477</v>
      </c>
    </row>
    <row r="8" spans="1:60">
      <c r="A8" t="s">
        <v>7</v>
      </c>
      <c r="B8">
        <v>208.5266571044922</v>
      </c>
      <c r="C8">
        <v>206.6088104248047</v>
      </c>
      <c r="D8">
        <v>196.2903594970703</v>
      </c>
      <c r="E8">
        <v>196.789794921875</v>
      </c>
      <c r="F8">
        <v>189.7976226806641</v>
      </c>
      <c r="G8">
        <v>194.8219909667969</v>
      </c>
      <c r="H8">
        <v>200.5256195068359</v>
      </c>
      <c r="I8">
        <v>206.4090423583984</v>
      </c>
      <c r="J8">
        <v>211.7031097412109</v>
      </c>
      <c r="K8">
        <v>218.9749755859375</v>
      </c>
      <c r="L8">
        <v>218.7452392578125</v>
      </c>
      <c r="M8">
        <v>223.7096862792969</v>
      </c>
      <c r="N8">
        <v>217.3068389892578</v>
      </c>
      <c r="O8">
        <v>217.2568969726562</v>
      </c>
      <c r="P8">
        <v>223.8395233154297</v>
      </c>
      <c r="Q8">
        <v>225.0481872558594</v>
      </c>
      <c r="R8">
        <v>224.9083404541016</v>
      </c>
      <c r="S8">
        <v>224.7584991455078</v>
      </c>
      <c r="T8">
        <v>219.4944000244141</v>
      </c>
      <c r="U8">
        <v>217.3168334960938</v>
      </c>
      <c r="V8">
        <v>216.6076354980469</v>
      </c>
      <c r="W8">
        <v>214.4800109863281</v>
      </c>
      <c r="X8">
        <v>208.2469787597656</v>
      </c>
      <c r="Y8">
        <v>212.8118743896484</v>
      </c>
      <c r="Z8">
        <v>209.4256591796875</v>
      </c>
      <c r="AA8">
        <v>227.7251739501953</v>
      </c>
      <c r="AB8">
        <v>217.3068389892578</v>
      </c>
      <c r="AC8">
        <v>220.5332336425781</v>
      </c>
      <c r="AD8">
        <v>217.1969757080078</v>
      </c>
      <c r="AE8">
        <v>224.1591796875</v>
      </c>
      <c r="AF8">
        <v>228.1946563720703</v>
      </c>
      <c r="AG8">
        <v>230.1025238037109</v>
      </c>
      <c r="AH8">
        <v>225.4776916503906</v>
      </c>
      <c r="AI8">
        <v>223.4199981689453</v>
      </c>
      <c r="AJ8">
        <v>218.3600006103516</v>
      </c>
      <c r="AK8">
        <v>218.2899932861328</v>
      </c>
      <c r="AL8">
        <v>210.9600067138672</v>
      </c>
      <c r="AM8">
        <v>212.1699981689453</v>
      </c>
      <c r="AN8">
        <v>213.8999938964844</v>
      </c>
      <c r="AO8">
        <v>219.3399963378906</v>
      </c>
      <c r="AP8">
        <v>222.2700042724609</v>
      </c>
      <c r="AQ8">
        <v>227.3800048828125</v>
      </c>
      <c r="AR8">
        <v>228.8699951171875</v>
      </c>
      <c r="AS8">
        <v>225.5099945068359</v>
      </c>
      <c r="AT8">
        <v>224.5800018310547</v>
      </c>
      <c r="AU8">
        <v>225.0700073242188</v>
      </c>
      <c r="AV8">
        <v>228.8600006103516</v>
      </c>
      <c r="AW8">
        <v>227.2100067138672</v>
      </c>
      <c r="AX8">
        <v>228.3800048828125</v>
      </c>
      <c r="AY8">
        <v>230.8600006103516</v>
      </c>
      <c r="AZ8">
        <v>233.9499969482422</v>
      </c>
      <c r="BA8">
        <v>238.8999938964844</v>
      </c>
      <c r="BB8">
        <v>239.2400054931641</v>
      </c>
      <c r="BC8">
        <v>237.4700012207031</v>
      </c>
      <c r="BD8">
        <v>230.4799957275391</v>
      </c>
      <c r="BE8">
        <v>229.2799987792969</v>
      </c>
      <c r="BF8">
        <v>226.3200073242188</v>
      </c>
      <c r="BG8">
        <v>228.5200042724609</v>
      </c>
      <c r="BH8">
        <v>221.3000030517578</v>
      </c>
    </row>
    <row r="9" spans="1:60">
      <c r="A9" t="s">
        <v>8</v>
      </c>
      <c r="B9">
        <v>375.0875549316406</v>
      </c>
      <c r="C9">
        <v>385.9404907226562</v>
      </c>
      <c r="D9">
        <v>389.0199584960938</v>
      </c>
      <c r="E9">
        <v>395.8665161132812</v>
      </c>
      <c r="F9">
        <v>387.6845092773438</v>
      </c>
      <c r="G9">
        <v>374.7088623046875</v>
      </c>
      <c r="H9">
        <v>373.0844116210938</v>
      </c>
      <c r="I9">
        <v>372.5462646484375</v>
      </c>
      <c r="J9">
        <v>375.8648986816406</v>
      </c>
      <c r="K9">
        <v>381.1468811035156</v>
      </c>
      <c r="L9">
        <v>384.6847534179688</v>
      </c>
      <c r="M9">
        <v>383.0005187988281</v>
      </c>
      <c r="N9">
        <v>374.3401184082031</v>
      </c>
      <c r="O9">
        <v>374.3301391601562</v>
      </c>
      <c r="P9">
        <v>368.8987426757812</v>
      </c>
      <c r="Q9">
        <v>368.7392883300781</v>
      </c>
      <c r="R9">
        <v>369.0980224609375</v>
      </c>
      <c r="S9">
        <v>363.2680053710938</v>
      </c>
      <c r="T9">
        <v>366.6763305664062</v>
      </c>
      <c r="U9">
        <v>360.9857788085938</v>
      </c>
      <c r="V9">
        <v>363.248046875</v>
      </c>
      <c r="W9">
        <v>362.3411254882812</v>
      </c>
      <c r="X9">
        <v>369.2873840332031</v>
      </c>
      <c r="Y9">
        <v>368.4004516601562</v>
      </c>
      <c r="Z9">
        <v>369.8853454589844</v>
      </c>
      <c r="AA9">
        <v>368.071533203125</v>
      </c>
      <c r="AB9">
        <v>368.6396179199219</v>
      </c>
      <c r="AC9">
        <v>364.6831359863281</v>
      </c>
      <c r="AD9">
        <v>362.6799926757812</v>
      </c>
      <c r="AE9">
        <v>364.9322814941406</v>
      </c>
      <c r="AF9">
        <v>373.0644836425781</v>
      </c>
      <c r="AG9">
        <v>368.0914916992188</v>
      </c>
      <c r="AH9">
        <v>364.4140625</v>
      </c>
      <c r="AI9">
        <v>365.6000061035156</v>
      </c>
      <c r="AJ9">
        <v>367.5599975585938</v>
      </c>
      <c r="AK9">
        <v>375.2000122070312</v>
      </c>
      <c r="AL9">
        <v>378.0499877929688</v>
      </c>
      <c r="AM9">
        <v>377.9700012207031</v>
      </c>
      <c r="AN9">
        <v>378.9200134277344</v>
      </c>
      <c r="AO9">
        <v>379.489990234375</v>
      </c>
      <c r="AP9">
        <v>374.6199951171875</v>
      </c>
      <c r="AQ9">
        <v>371.1300048828125</v>
      </c>
      <c r="AR9">
        <v>362.010009765625</v>
      </c>
      <c r="AS9">
        <v>360.3900146484375</v>
      </c>
      <c r="AT9">
        <v>362.3900146484375</v>
      </c>
      <c r="AU9">
        <v>363.0400085449219</v>
      </c>
      <c r="AV9">
        <v>363.1600036621094</v>
      </c>
      <c r="AW9">
        <v>363.2099914550781</v>
      </c>
      <c r="AX9">
        <v>356.510009765625</v>
      </c>
      <c r="AY9">
        <v>361.6400146484375</v>
      </c>
      <c r="AZ9">
        <v>360.3800048828125</v>
      </c>
      <c r="BA9">
        <v>360.7000122070312</v>
      </c>
      <c r="BB9">
        <v>360.6400146484375</v>
      </c>
      <c r="BC9">
        <v>360.6099853515625</v>
      </c>
      <c r="BD9">
        <v>370.2699890136719</v>
      </c>
      <c r="BE9">
        <v>368.75</v>
      </c>
      <c r="BF9">
        <v>371.6799926757812</v>
      </c>
      <c r="BG9">
        <v>373.2799987792969</v>
      </c>
      <c r="BH9">
        <v>377.8200073242188</v>
      </c>
    </row>
    <row r="10" spans="1:60">
      <c r="A10" t="s">
        <v>9</v>
      </c>
      <c r="B10">
        <v>318.1334533691406</v>
      </c>
      <c r="C10">
        <v>318.8829650878906</v>
      </c>
      <c r="D10">
        <v>326.3581237792969</v>
      </c>
      <c r="E10">
        <v>332.3842163085938</v>
      </c>
      <c r="F10">
        <v>335.5421752929688</v>
      </c>
      <c r="G10">
        <v>333.4635009765625</v>
      </c>
      <c r="H10">
        <v>356.4186096191406</v>
      </c>
      <c r="I10">
        <v>372.2283325195312</v>
      </c>
      <c r="J10">
        <v>375.1064758300781</v>
      </c>
      <c r="K10">
        <v>359.8963623046875</v>
      </c>
      <c r="L10">
        <v>356.3886108398438</v>
      </c>
      <c r="M10">
        <v>353.2406616210938</v>
      </c>
      <c r="N10">
        <v>355.609130859375</v>
      </c>
      <c r="O10">
        <v>342.7774658203125</v>
      </c>
      <c r="P10">
        <v>342.1478576660156</v>
      </c>
      <c r="Q10">
        <v>343.7168579101562</v>
      </c>
      <c r="R10">
        <v>343.3171081542969</v>
      </c>
      <c r="S10">
        <v>341.2284851074219</v>
      </c>
      <c r="T10">
        <v>341.0585632324219</v>
      </c>
      <c r="U10">
        <v>341.4783325195312</v>
      </c>
      <c r="V10">
        <v>337.9805908203125</v>
      </c>
      <c r="W10">
        <v>341.5282592773438</v>
      </c>
      <c r="X10">
        <v>344.3664245605469</v>
      </c>
      <c r="Y10">
        <v>343.1172485351562</v>
      </c>
      <c r="Z10">
        <v>338.8800048828125</v>
      </c>
      <c r="AA10">
        <v>337.4908752441406</v>
      </c>
      <c r="AB10">
        <v>342.6575317382812</v>
      </c>
      <c r="AC10">
        <v>335.1923828125</v>
      </c>
      <c r="AD10">
        <v>331.8145751953125</v>
      </c>
      <c r="AE10">
        <v>333.5634460449219</v>
      </c>
      <c r="AF10">
        <v>338.8599853515625</v>
      </c>
      <c r="AG10">
        <v>335.3099975585938</v>
      </c>
      <c r="AH10">
        <v>335.3800048828125</v>
      </c>
      <c r="AI10">
        <v>328.3800048828125</v>
      </c>
      <c r="AJ10">
        <v>330.3900146484375</v>
      </c>
      <c r="AK10">
        <v>335.4500122070312</v>
      </c>
      <c r="AL10">
        <v>345.7099914550781</v>
      </c>
      <c r="AM10">
        <v>341.4299926757812</v>
      </c>
      <c r="AN10">
        <v>339.3599853515625</v>
      </c>
      <c r="AO10">
        <v>343.6799926757812</v>
      </c>
      <c r="AP10">
        <v>344.4100036621094</v>
      </c>
      <c r="AQ10">
        <v>350.8699951171875</v>
      </c>
      <c r="AR10">
        <v>347.4100036621094</v>
      </c>
      <c r="AS10">
        <v>334.9800109863281</v>
      </c>
      <c r="AT10">
        <v>339.010009765625</v>
      </c>
      <c r="AU10">
        <v>341.0799865722656</v>
      </c>
      <c r="AV10">
        <v>339.1600036621094</v>
      </c>
      <c r="AW10">
        <v>337.3200073242188</v>
      </c>
      <c r="AX10">
        <v>340.739990234375</v>
      </c>
      <c r="AY10">
        <v>334.9299926757812</v>
      </c>
      <c r="AZ10">
        <v>340.3500061035156</v>
      </c>
      <c r="BA10">
        <v>343.8299865722656</v>
      </c>
      <c r="BB10">
        <v>344.5899963378906</v>
      </c>
      <c r="BC10">
        <v>347.3699951171875</v>
      </c>
      <c r="BD10">
        <v>344.8599853515625</v>
      </c>
      <c r="BE10">
        <v>347.8599853515625</v>
      </c>
      <c r="BF10">
        <v>348.9700012207031</v>
      </c>
      <c r="BG10">
        <v>349.5199890136719</v>
      </c>
      <c r="BH10">
        <v>343.6499938964844</v>
      </c>
    </row>
    <row r="11" spans="1:60">
      <c r="A11" t="s">
        <v>10</v>
      </c>
      <c r="B11">
        <v>63.7400016784668</v>
      </c>
      <c r="C11">
        <v>63.40999984741211</v>
      </c>
      <c r="D11">
        <v>64.08000183105469</v>
      </c>
      <c r="E11">
        <v>63.90999984741211</v>
      </c>
      <c r="F11">
        <v>61.81999969482422</v>
      </c>
      <c r="G11">
        <v>60.84000015258789</v>
      </c>
      <c r="H11">
        <v>62.22000122070312</v>
      </c>
      <c r="I11">
        <v>63.7599983215332</v>
      </c>
      <c r="J11">
        <v>64.06999969482422</v>
      </c>
      <c r="K11">
        <v>66.98999786376953</v>
      </c>
      <c r="L11">
        <v>64.19999694824219</v>
      </c>
      <c r="M11">
        <v>65.76999664306641</v>
      </c>
      <c r="N11">
        <v>66.56999969482422</v>
      </c>
      <c r="O11">
        <v>64.87999725341797</v>
      </c>
      <c r="P11">
        <v>67.06999969482422</v>
      </c>
      <c r="Q11">
        <v>66.04000091552734</v>
      </c>
      <c r="R11">
        <v>67.47000122070312</v>
      </c>
      <c r="S11">
        <v>64.41000366210938</v>
      </c>
      <c r="T11">
        <v>65.22000122070312</v>
      </c>
      <c r="U11">
        <v>64.69999694824219</v>
      </c>
      <c r="V11">
        <v>64.13999938964844</v>
      </c>
      <c r="W11">
        <v>65.01999664306641</v>
      </c>
      <c r="X11">
        <v>65.65000152587891</v>
      </c>
      <c r="Y11">
        <v>65</v>
      </c>
      <c r="Z11">
        <v>65.47000122070312</v>
      </c>
      <c r="AA11">
        <v>65.33000183105469</v>
      </c>
      <c r="AB11">
        <v>64.75</v>
      </c>
      <c r="AC11">
        <v>64.33999633789062</v>
      </c>
      <c r="AD11">
        <v>65.23000335693359</v>
      </c>
      <c r="AE11">
        <v>67.33999633789062</v>
      </c>
      <c r="AF11">
        <v>68.01999664306641</v>
      </c>
      <c r="AG11">
        <v>67.04000091552734</v>
      </c>
      <c r="AH11">
        <v>64.58000183105469</v>
      </c>
      <c r="AI11">
        <v>64.05999755859375</v>
      </c>
      <c r="AJ11">
        <v>65.40000152587891</v>
      </c>
      <c r="AK11">
        <v>66.41999816894531</v>
      </c>
      <c r="AL11">
        <v>69.41000366210938</v>
      </c>
      <c r="AM11">
        <v>67.66000366210938</v>
      </c>
      <c r="AN11">
        <v>66.01000213623047</v>
      </c>
      <c r="AO11">
        <v>67.09999847412109</v>
      </c>
      <c r="AP11">
        <v>65.11000061035156</v>
      </c>
      <c r="AQ11">
        <v>64.98999786376953</v>
      </c>
      <c r="AR11">
        <v>63.29999923706055</v>
      </c>
      <c r="AS11">
        <v>62.08000183105469</v>
      </c>
      <c r="AT11">
        <v>61.91999816894531</v>
      </c>
      <c r="AU11">
        <v>61.81999969482422</v>
      </c>
      <c r="AV11">
        <v>62.52999877929688</v>
      </c>
      <c r="AW11">
        <v>62.20999908447266</v>
      </c>
      <c r="AX11">
        <v>62.11999893188477</v>
      </c>
      <c r="AY11">
        <v>60.9900016784668</v>
      </c>
      <c r="AZ11">
        <v>62.9900016784668</v>
      </c>
      <c r="BA11">
        <v>64.30000305175781</v>
      </c>
      <c r="BB11">
        <v>64.61000061035156</v>
      </c>
      <c r="BC11">
        <v>64.98999786376953</v>
      </c>
      <c r="BD11">
        <v>64.54000091552734</v>
      </c>
      <c r="BE11">
        <v>65.36000061035156</v>
      </c>
      <c r="BF11">
        <v>67.01999664306641</v>
      </c>
      <c r="BG11">
        <v>68.86000061035156</v>
      </c>
      <c r="BH11">
        <v>70.16000366210938</v>
      </c>
    </row>
    <row r="12" spans="1:60">
      <c r="A12" t="s">
        <v>11</v>
      </c>
      <c r="B12">
        <v>317.4859313964844</v>
      </c>
      <c r="C12">
        <v>319.5346069335938</v>
      </c>
      <c r="D12">
        <v>326.3502197265625</v>
      </c>
      <c r="E12">
        <v>333.4956359863281</v>
      </c>
      <c r="F12">
        <v>336.4937133789062</v>
      </c>
      <c r="G12">
        <v>333.4456787109375</v>
      </c>
      <c r="H12">
        <v>355.9012451171875</v>
      </c>
      <c r="I12">
        <v>373.2700805664062</v>
      </c>
      <c r="J12">
        <v>377.4074096679688</v>
      </c>
      <c r="K12">
        <v>362.1971740722656</v>
      </c>
      <c r="L12">
        <v>357.5202026367188</v>
      </c>
      <c r="M12">
        <v>354.0723876953125</v>
      </c>
      <c r="N12">
        <v>357.2903442382812</v>
      </c>
      <c r="O12">
        <v>343.5791320800781</v>
      </c>
      <c r="P12">
        <v>343.3193359375</v>
      </c>
      <c r="Q12">
        <v>346.1375122070312</v>
      </c>
      <c r="R12">
        <v>345.6777954101562</v>
      </c>
      <c r="S12">
        <v>343.7790222167969</v>
      </c>
      <c r="T12">
        <v>343.9789123535156</v>
      </c>
      <c r="U12">
        <v>344.4985656738281</v>
      </c>
      <c r="V12">
        <v>340.451171875</v>
      </c>
      <c r="W12">
        <v>344.5985107421875</v>
      </c>
      <c r="X12">
        <v>347.83642578125</v>
      </c>
      <c r="Y12">
        <v>346.7371215820312</v>
      </c>
      <c r="Z12">
        <v>341.7803039550781</v>
      </c>
      <c r="AA12">
        <v>340.4311828613281</v>
      </c>
      <c r="AB12">
        <v>346.3673706054688</v>
      </c>
      <c r="AC12">
        <v>339.1320190429688</v>
      </c>
      <c r="AD12">
        <v>334.8047790527344</v>
      </c>
      <c r="AE12">
        <v>336.9034423828125</v>
      </c>
      <c r="AF12">
        <v>342.260009765625</v>
      </c>
      <c r="AG12">
        <v>338.4599914550781</v>
      </c>
      <c r="AH12">
        <v>338.3599853515625</v>
      </c>
      <c r="AI12">
        <v>330.6499938964844</v>
      </c>
      <c r="AJ12">
        <v>332.6000061035156</v>
      </c>
      <c r="AK12">
        <v>338.5</v>
      </c>
      <c r="AL12">
        <v>349.3900146484375</v>
      </c>
      <c r="AM12">
        <v>344.9800109863281</v>
      </c>
      <c r="AN12">
        <v>342.8699951171875</v>
      </c>
      <c r="AO12">
        <v>347.3299865722656</v>
      </c>
      <c r="AP12">
        <v>349.5400085449219</v>
      </c>
      <c r="AQ12">
        <v>354.9700012207031</v>
      </c>
      <c r="AR12">
        <v>351.1600036621094</v>
      </c>
      <c r="AS12">
        <v>337.8299865722656</v>
      </c>
      <c r="AT12">
        <v>342.3599853515625</v>
      </c>
      <c r="AU12">
        <v>343.9200134277344</v>
      </c>
      <c r="AV12">
        <v>342.75</v>
      </c>
      <c r="AW12">
        <v>340.9200134277344</v>
      </c>
      <c r="AX12">
        <v>344.0799865722656</v>
      </c>
      <c r="AY12">
        <v>338.239990234375</v>
      </c>
      <c r="AZ12">
        <v>343.5</v>
      </c>
      <c r="BA12">
        <v>346.4700012207031</v>
      </c>
      <c r="BB12">
        <v>347.6799926757812</v>
      </c>
      <c r="BC12">
        <v>350.5</v>
      </c>
      <c r="BD12">
        <v>348.2900085449219</v>
      </c>
      <c r="BE12">
        <v>351.6600036621094</v>
      </c>
      <c r="BF12">
        <v>352.7200012207031</v>
      </c>
      <c r="BG12">
        <v>353.7799987792969</v>
      </c>
      <c r="BH12">
        <v>347.6400146484375</v>
      </c>
    </row>
    <row r="13" spans="1:60">
      <c r="A13" t="s">
        <v>12</v>
      </c>
      <c r="B13">
        <v>253.4651184082031</v>
      </c>
      <c r="C13">
        <v>258.8925170898438</v>
      </c>
      <c r="D13">
        <v>260.1871337890625</v>
      </c>
      <c r="E13">
        <v>271.2909240722656</v>
      </c>
      <c r="F13">
        <v>273.2527770996094</v>
      </c>
      <c r="G13">
        <v>264.2801208496094</v>
      </c>
      <c r="H13">
        <v>262.9854736328125</v>
      </c>
      <c r="I13">
        <v>261.5912780761719</v>
      </c>
      <c r="J13">
        <v>261.4718017578125</v>
      </c>
      <c r="K13">
        <v>263.4933776855469</v>
      </c>
      <c r="L13">
        <v>273.9697570800781</v>
      </c>
      <c r="M13">
        <v>265.8934020996094</v>
      </c>
      <c r="N13">
        <v>268.5523376464844</v>
      </c>
      <c r="O13">
        <v>261.1431579589844</v>
      </c>
      <c r="P13">
        <v>254.7796325683594</v>
      </c>
      <c r="Q13">
        <v>259.4004211425781</v>
      </c>
      <c r="R13">
        <v>260.3265686035156</v>
      </c>
      <c r="S13">
        <v>257.0302734375</v>
      </c>
      <c r="T13">
        <v>260.067626953125</v>
      </c>
      <c r="U13">
        <v>258.6634826660156</v>
      </c>
      <c r="V13">
        <v>253.4850311279297</v>
      </c>
      <c r="W13">
        <v>252.7779693603516</v>
      </c>
      <c r="X13">
        <v>259.1116027832031</v>
      </c>
      <c r="Y13">
        <v>256.55224609375</v>
      </c>
      <c r="Z13">
        <v>260.7248840332031</v>
      </c>
      <c r="AA13">
        <v>256.55224609375</v>
      </c>
      <c r="AB13">
        <v>259.4999694824219</v>
      </c>
      <c r="AC13">
        <v>257.7999877929688</v>
      </c>
      <c r="AD13">
        <v>257.8699951171875</v>
      </c>
      <c r="AE13">
        <v>259.3399963378906</v>
      </c>
      <c r="AF13">
        <v>263.1099853515625</v>
      </c>
      <c r="AG13">
        <v>259.5700073242188</v>
      </c>
      <c r="AH13">
        <v>253.4600067138672</v>
      </c>
      <c r="AI13">
        <v>253.5800018310547</v>
      </c>
      <c r="AJ13">
        <v>251.7899932861328</v>
      </c>
      <c r="AK13">
        <v>253.7100067138672</v>
      </c>
      <c r="AL13">
        <v>258.4800109863281</v>
      </c>
      <c r="AM13">
        <v>257.2099914550781</v>
      </c>
      <c r="AN13">
        <v>254.8500061035156</v>
      </c>
      <c r="AO13">
        <v>252.2100067138672</v>
      </c>
      <c r="AP13">
        <v>249.8300018310547</v>
      </c>
      <c r="AQ13">
        <v>242.8600006103516</v>
      </c>
      <c r="AR13">
        <v>229.5</v>
      </c>
      <c r="AS13">
        <v>225.6600036621094</v>
      </c>
      <c r="AT13">
        <v>227.1699981689453</v>
      </c>
      <c r="AU13">
        <v>227.6000061035156</v>
      </c>
      <c r="AV13">
        <v>227.5500030517578</v>
      </c>
      <c r="AW13">
        <v>225.4199981689453</v>
      </c>
      <c r="AX13">
        <v>221.8600006103516</v>
      </c>
      <c r="AY13">
        <v>224.4100036621094</v>
      </c>
      <c r="AZ13">
        <v>223.7400054931641</v>
      </c>
      <c r="BA13">
        <v>224.7100067138672</v>
      </c>
      <c r="BB13">
        <v>224.2700042724609</v>
      </c>
      <c r="BC13">
        <v>223.9499969482422</v>
      </c>
      <c r="BD13">
        <v>230.6300048828125</v>
      </c>
      <c r="BE13">
        <v>229.4299926757812</v>
      </c>
      <c r="BF13">
        <v>232.6000061035156</v>
      </c>
      <c r="BG13">
        <v>236.3999938964844</v>
      </c>
      <c r="BH13">
        <v>236.1699981689453</v>
      </c>
    </row>
    <row r="14" spans="1:60">
      <c r="A14" t="s">
        <v>13</v>
      </c>
      <c r="B14">
        <v>133.4556579589844</v>
      </c>
      <c r="C14">
        <v>135.7381439208984</v>
      </c>
      <c r="D14">
        <v>139.2710113525391</v>
      </c>
      <c r="E14">
        <v>143.1016235351562</v>
      </c>
      <c r="F14">
        <v>144.7886657714844</v>
      </c>
      <c r="G14">
        <v>143.4092559814453</v>
      </c>
      <c r="H14">
        <v>143.3894195556641</v>
      </c>
      <c r="I14">
        <v>148.21240234375</v>
      </c>
      <c r="J14">
        <v>146.9818420410156</v>
      </c>
      <c r="K14">
        <v>146.574951171875</v>
      </c>
      <c r="L14">
        <v>145.9596862792969</v>
      </c>
      <c r="M14">
        <v>148.5597229003906</v>
      </c>
      <c r="N14">
        <v>150.862060546875</v>
      </c>
      <c r="O14">
        <v>151.1299896240234</v>
      </c>
      <c r="P14">
        <v>154</v>
      </c>
      <c r="Q14">
        <v>155.5099945068359</v>
      </c>
      <c r="R14">
        <v>154.4799957275391</v>
      </c>
      <c r="S14">
        <v>151.0099945068359</v>
      </c>
      <c r="T14">
        <v>152.4799957275391</v>
      </c>
      <c r="U14">
        <v>159</v>
      </c>
      <c r="V14">
        <v>158.25</v>
      </c>
      <c r="W14">
        <v>165.4400024414062</v>
      </c>
      <c r="X14">
        <v>169.8899993896484</v>
      </c>
      <c r="Y14">
        <v>163.4700012207031</v>
      </c>
      <c r="Z14">
        <v>164.0399932861328</v>
      </c>
      <c r="AA14">
        <v>165.9299926757812</v>
      </c>
      <c r="AB14">
        <v>163.1799926757812</v>
      </c>
      <c r="AC14">
        <v>160.8800048828125</v>
      </c>
      <c r="AD14">
        <v>163.75</v>
      </c>
      <c r="AE14">
        <v>163.3600006103516</v>
      </c>
      <c r="AF14">
        <v>164.0099945068359</v>
      </c>
      <c r="AG14">
        <v>164.4400024414062</v>
      </c>
      <c r="AH14">
        <v>162.7100067138672</v>
      </c>
      <c r="AI14">
        <v>157.5200042724609</v>
      </c>
      <c r="AJ14">
        <v>155.7299957275391</v>
      </c>
      <c r="AK14">
        <v>155.8300018310547</v>
      </c>
      <c r="AL14">
        <v>158.6999969482422</v>
      </c>
      <c r="AM14">
        <v>154.3999938964844</v>
      </c>
      <c r="AN14">
        <v>154.6799926757812</v>
      </c>
      <c r="AO14">
        <v>159.8300018310547</v>
      </c>
      <c r="AP14">
        <v>158.1900024414062</v>
      </c>
      <c r="AQ14">
        <v>157.7100067138672</v>
      </c>
      <c r="AR14">
        <v>159.0200042724609</v>
      </c>
      <c r="AS14">
        <v>156.2599945068359</v>
      </c>
      <c r="AT14">
        <v>156.1499938964844</v>
      </c>
      <c r="AU14">
        <v>157.4499969482422</v>
      </c>
      <c r="AV14">
        <v>158.4299926757812</v>
      </c>
      <c r="AW14">
        <v>156.4299926757812</v>
      </c>
      <c r="AX14">
        <v>156.6900024414062</v>
      </c>
      <c r="AY14">
        <v>156.6999969482422</v>
      </c>
      <c r="AZ14">
        <v>156</v>
      </c>
      <c r="BA14">
        <v>152.9900054931641</v>
      </c>
      <c r="BB14">
        <v>154.3300018310547</v>
      </c>
      <c r="BC14">
        <v>150.9199981689453</v>
      </c>
      <c r="BD14">
        <v>154.7599945068359</v>
      </c>
      <c r="BE14">
        <v>153.6399993896484</v>
      </c>
      <c r="BF14">
        <v>153.6199951171875</v>
      </c>
      <c r="BG14">
        <v>151.9900054931641</v>
      </c>
      <c r="BH14">
        <v>155.3099975585938</v>
      </c>
    </row>
    <row r="15" spans="1:60">
      <c r="A15" t="s">
        <v>14</v>
      </c>
      <c r="B15">
        <v>116.6900024414062</v>
      </c>
      <c r="C15">
        <v>117.6699981689453</v>
      </c>
      <c r="D15">
        <v>118.870002746582</v>
      </c>
      <c r="E15">
        <v>129.9299926757812</v>
      </c>
      <c r="F15">
        <v>127.0999984741211</v>
      </c>
      <c r="G15">
        <v>122.9899978637695</v>
      </c>
      <c r="H15">
        <v>119.5199966430664</v>
      </c>
      <c r="I15">
        <v>118.4300003051758</v>
      </c>
      <c r="J15">
        <v>120.5999984741211</v>
      </c>
      <c r="K15">
        <v>119.8000030517578</v>
      </c>
      <c r="L15">
        <v>118.379997253418</v>
      </c>
      <c r="M15">
        <v>120.5599975585938</v>
      </c>
      <c r="N15">
        <v>121.5500030517578</v>
      </c>
      <c r="O15">
        <v>121.0699996948242</v>
      </c>
      <c r="P15">
        <v>120.7699966430664</v>
      </c>
      <c r="Q15">
        <v>120.5199966430664</v>
      </c>
      <c r="R15">
        <v>120.1600036621094</v>
      </c>
      <c r="S15">
        <v>123.5</v>
      </c>
      <c r="T15">
        <v>123.4700012207031</v>
      </c>
      <c r="U15">
        <v>128.4700012207031</v>
      </c>
      <c r="V15">
        <v>127.2200012207031</v>
      </c>
      <c r="W15">
        <v>127.8099975585938</v>
      </c>
      <c r="X15">
        <v>127.9800033569336</v>
      </c>
      <c r="Y15">
        <v>129.7200012207031</v>
      </c>
      <c r="Z15">
        <v>128.1199951171875</v>
      </c>
      <c r="AA15">
        <v>127.7399978637695</v>
      </c>
      <c r="AB15">
        <v>124.370002746582</v>
      </c>
      <c r="AC15">
        <v>123.2200012207031</v>
      </c>
      <c r="AD15">
        <v>125.0100021362305</v>
      </c>
      <c r="AE15">
        <v>128.8300018310547</v>
      </c>
      <c r="AF15">
        <v>128</v>
      </c>
      <c r="AG15">
        <v>126.75</v>
      </c>
      <c r="AH15">
        <v>124.4000015258789</v>
      </c>
      <c r="AI15">
        <v>126.0100021362305</v>
      </c>
      <c r="AJ15">
        <v>123.2799987792969</v>
      </c>
      <c r="AK15">
        <v>121.4700012207031</v>
      </c>
      <c r="AL15">
        <v>122.1900024414062</v>
      </c>
      <c r="AM15">
        <v>121.7399978637695</v>
      </c>
      <c r="AN15">
        <v>124.75</v>
      </c>
      <c r="AO15">
        <v>127.620002746582</v>
      </c>
      <c r="AP15">
        <v>125.3099975585938</v>
      </c>
      <c r="AQ15">
        <v>124.6500015258789</v>
      </c>
      <c r="AR15">
        <v>126.9300003051758</v>
      </c>
      <c r="AS15">
        <v>124.6399993896484</v>
      </c>
      <c r="AT15">
        <v>124.4400024414062</v>
      </c>
      <c r="AU15">
        <v>123.8899993896484</v>
      </c>
      <c r="AV15">
        <v>124.8199996948242</v>
      </c>
      <c r="AW15">
        <v>123.1999969482422</v>
      </c>
      <c r="AX15">
        <v>121.3499984741211</v>
      </c>
      <c r="AY15">
        <v>117.1399993896484</v>
      </c>
      <c r="AZ15">
        <v>115.3000030517578</v>
      </c>
      <c r="BA15">
        <v>114.129997253418</v>
      </c>
      <c r="BB15">
        <v>112.7300033569336</v>
      </c>
      <c r="BC15">
        <v>113.4400024414062</v>
      </c>
      <c r="BD15">
        <v>112.75</v>
      </c>
      <c r="BE15">
        <v>112.7900009155273</v>
      </c>
      <c r="BF15">
        <v>111.3600006103516</v>
      </c>
      <c r="BG15">
        <v>108.620002746582</v>
      </c>
      <c r="BH15">
        <v>111.5699996948242</v>
      </c>
    </row>
    <row r="16" spans="1:60">
      <c r="A16" t="s">
        <v>15</v>
      </c>
      <c r="B16">
        <v>233.6600036621094</v>
      </c>
      <c r="C16">
        <v>232.1100006103516</v>
      </c>
      <c r="D16">
        <v>231.3899993896484</v>
      </c>
      <c r="E16">
        <v>230.8600006103516</v>
      </c>
      <c r="F16">
        <v>226.6499938964844</v>
      </c>
      <c r="G16">
        <v>235.5</v>
      </c>
      <c r="H16">
        <v>271.5799865722656</v>
      </c>
      <c r="I16">
        <v>284.0199890136719</v>
      </c>
      <c r="J16">
        <v>277.4200134277344</v>
      </c>
      <c r="K16">
        <v>272.6499938964844</v>
      </c>
      <c r="L16">
        <v>272.260009765625</v>
      </c>
      <c r="M16">
        <v>274.4800109863281</v>
      </c>
      <c r="N16">
        <v>278.0899963378906</v>
      </c>
      <c r="O16">
        <v>272.2699890136719</v>
      </c>
      <c r="P16">
        <v>267.2799987792969</v>
      </c>
      <c r="Q16">
        <v>265.1300048828125</v>
      </c>
      <c r="R16">
        <v>262.6499938964844</v>
      </c>
      <c r="S16">
        <v>261.3099975585938</v>
      </c>
      <c r="T16">
        <v>259.4500122070312</v>
      </c>
      <c r="U16">
        <v>265.8399963378906</v>
      </c>
      <c r="V16">
        <v>260.1099853515625</v>
      </c>
      <c r="W16">
        <v>258.6300048828125</v>
      </c>
      <c r="X16">
        <v>262.0700073242188</v>
      </c>
      <c r="Y16">
        <v>261.0599975585938</v>
      </c>
      <c r="Z16">
        <v>260.2799987792969</v>
      </c>
      <c r="AA16">
        <v>256.260009765625</v>
      </c>
      <c r="AB16">
        <v>266.4299926757812</v>
      </c>
      <c r="AC16">
        <v>259.7699890136719</v>
      </c>
      <c r="AD16">
        <v>254.9199981689453</v>
      </c>
      <c r="AE16">
        <v>254.9799957275391</v>
      </c>
      <c r="AF16">
        <v>258.8999938964844</v>
      </c>
      <c r="AG16">
        <v>258.510009765625</v>
      </c>
      <c r="AH16">
        <v>256.9700012207031</v>
      </c>
      <c r="AI16">
        <v>252.3999938964844</v>
      </c>
      <c r="AJ16">
        <v>251.8899993896484</v>
      </c>
      <c r="AK16">
        <v>256.7799987792969</v>
      </c>
      <c r="AL16">
        <v>253.5399932861328</v>
      </c>
      <c r="AM16">
        <v>248.4199981689453</v>
      </c>
      <c r="AN16">
        <v>245.9600067138672</v>
      </c>
      <c r="AO16">
        <v>251.1900024414062</v>
      </c>
      <c r="AP16">
        <v>253.7100067138672</v>
      </c>
      <c r="AQ16">
        <v>258.4500122070312</v>
      </c>
      <c r="AR16">
        <v>254.9799957275391</v>
      </c>
      <c r="AS16">
        <v>249.2700042724609</v>
      </c>
      <c r="AT16">
        <v>249.3800048828125</v>
      </c>
      <c r="AU16">
        <v>249.6699981689453</v>
      </c>
      <c r="AV16">
        <v>246.1499938964844</v>
      </c>
      <c r="AW16">
        <v>246.6699981689453</v>
      </c>
      <c r="AX16">
        <v>249.1499938964844</v>
      </c>
      <c r="AY16">
        <v>248.2299957275391</v>
      </c>
      <c r="AZ16">
        <v>251.5200042724609</v>
      </c>
      <c r="BA16">
        <v>251.3999938964844</v>
      </c>
      <c r="BB16">
        <v>256.2900085449219</v>
      </c>
      <c r="BC16">
        <v>259.9200134277344</v>
      </c>
      <c r="BD16">
        <v>254.0599975585938</v>
      </c>
      <c r="BE16">
        <v>262.4299926757812</v>
      </c>
      <c r="BF16">
        <v>259.5299987792969</v>
      </c>
      <c r="BG16">
        <v>258.5799865722656</v>
      </c>
      <c r="BH16">
        <v>254.0800018310547</v>
      </c>
    </row>
    <row r="17" spans="1:60">
      <c r="A17" t="s">
        <v>16</v>
      </c>
      <c r="B17">
        <v>196.8600006103516</v>
      </c>
      <c r="C17">
        <v>194.0899963378906</v>
      </c>
      <c r="D17">
        <v>189.4700012207031</v>
      </c>
      <c r="E17">
        <v>192.9799957275391</v>
      </c>
      <c r="F17">
        <v>194.8200073242188</v>
      </c>
      <c r="G17">
        <v>205.0899963378906</v>
      </c>
      <c r="H17">
        <v>205.1000061035156</v>
      </c>
      <c r="I17">
        <v>198.1600036621094</v>
      </c>
      <c r="J17">
        <v>203.0099945068359</v>
      </c>
      <c r="K17">
        <v>199.8699951171875</v>
      </c>
      <c r="L17">
        <v>193.7200012207031</v>
      </c>
      <c r="M17">
        <v>187.9600067138672</v>
      </c>
      <c r="N17">
        <v>191.7899932861328</v>
      </c>
      <c r="O17">
        <v>192.8399963378906</v>
      </c>
      <c r="P17">
        <v>192.9100036621094</v>
      </c>
      <c r="Q17">
        <v>192.6399993896484</v>
      </c>
      <c r="R17">
        <v>190.8899993896484</v>
      </c>
      <c r="S17">
        <v>193.1399993896484</v>
      </c>
      <c r="T17">
        <v>188.2899932861328</v>
      </c>
      <c r="U17">
        <v>205</v>
      </c>
      <c r="V17">
        <v>213.2400054931641</v>
      </c>
      <c r="W17">
        <v>219.3999938964844</v>
      </c>
      <c r="X17">
        <v>223.2200012207031</v>
      </c>
      <c r="Y17">
        <v>224.9900054931641</v>
      </c>
      <c r="Z17">
        <v>224.8399963378906</v>
      </c>
      <c r="AA17">
        <v>227.6900024414062</v>
      </c>
      <c r="AB17">
        <v>215.5899963378906</v>
      </c>
      <c r="AC17">
        <v>213.6300048828125</v>
      </c>
      <c r="AD17">
        <v>207.1300048828125</v>
      </c>
      <c r="AE17">
        <v>213.25</v>
      </c>
      <c r="AF17">
        <v>221.6600036621094</v>
      </c>
      <c r="AG17">
        <v>218.2200012207031</v>
      </c>
      <c r="AH17">
        <v>211.0599975585938</v>
      </c>
      <c r="AI17">
        <v>205</v>
      </c>
      <c r="AJ17">
        <v>201.2700042724609</v>
      </c>
      <c r="AK17">
        <v>206.4499969482422</v>
      </c>
      <c r="AL17">
        <v>208.2100067138672</v>
      </c>
      <c r="AM17">
        <v>222.2899932861328</v>
      </c>
      <c r="AN17">
        <v>228.9299926757812</v>
      </c>
      <c r="AO17">
        <v>245.1799926757812</v>
      </c>
      <c r="AP17">
        <v>239.6199951171875</v>
      </c>
      <c r="AQ17">
        <v>238.8200073242188</v>
      </c>
      <c r="AR17">
        <v>247.4600067138672</v>
      </c>
      <c r="AS17">
        <v>255.3800048828125</v>
      </c>
      <c r="AT17">
        <v>273.8999938964844</v>
      </c>
      <c r="AU17">
        <v>270</v>
      </c>
      <c r="AV17">
        <v>271.8999938964844</v>
      </c>
      <c r="AW17">
        <v>272</v>
      </c>
      <c r="AX17">
        <v>273.6799926757812</v>
      </c>
      <c r="AY17">
        <v>265.7200012207031</v>
      </c>
      <c r="AZ17">
        <v>273.0400085449219</v>
      </c>
      <c r="BA17">
        <v>293.6900024414062</v>
      </c>
      <c r="BB17">
        <v>273.5400085449219</v>
      </c>
      <c r="BC17">
        <v>267.760009765625</v>
      </c>
      <c r="BD17">
        <v>264.5700073242188</v>
      </c>
      <c r="BE17">
        <v>278.1700134277344</v>
      </c>
      <c r="BF17">
        <v>276.6700134277344</v>
      </c>
      <c r="BG17">
        <v>271.1799926757812</v>
      </c>
      <c r="BH17">
        <v>271.760009765625</v>
      </c>
    </row>
    <row r="18" spans="1:60">
      <c r="A18" t="s">
        <v>17</v>
      </c>
      <c r="B18">
        <v>117.6500015258789</v>
      </c>
      <c r="C18">
        <v>120.4499969482422</v>
      </c>
      <c r="D18">
        <v>125.5400009155273</v>
      </c>
      <c r="E18">
        <v>126.7600021362305</v>
      </c>
      <c r="F18">
        <v>128.9499969482422</v>
      </c>
      <c r="G18">
        <v>128.5700073242188</v>
      </c>
      <c r="H18">
        <v>127.2099990844727</v>
      </c>
      <c r="I18">
        <v>129.3500061035156</v>
      </c>
      <c r="J18">
        <v>130.7100067138672</v>
      </c>
      <c r="K18">
        <v>128.7599945068359</v>
      </c>
      <c r="L18">
        <v>129.6799926757812</v>
      </c>
      <c r="M18">
        <v>130.8999938964844</v>
      </c>
      <c r="N18">
        <v>129.3699951171875</v>
      </c>
      <c r="O18">
        <v>128.0599975585938</v>
      </c>
      <c r="P18">
        <v>128.6100006103516</v>
      </c>
      <c r="Q18">
        <v>129.5299987792969</v>
      </c>
      <c r="R18">
        <v>129.3899993896484</v>
      </c>
      <c r="S18">
        <v>129.5399932861328</v>
      </c>
      <c r="T18">
        <v>130.4799957275391</v>
      </c>
      <c r="U18">
        <v>131.8399963378906</v>
      </c>
      <c r="V18">
        <v>128.4499969482422</v>
      </c>
      <c r="W18">
        <v>131.4799957275391</v>
      </c>
      <c r="X18">
        <v>136.75</v>
      </c>
      <c r="Y18">
        <v>134.4799957275391</v>
      </c>
      <c r="Z18">
        <v>132.1799926757812</v>
      </c>
      <c r="AA18">
        <v>127</v>
      </c>
      <c r="AB18">
        <v>128.2599945068359</v>
      </c>
      <c r="AC18">
        <v>126.5899963378906</v>
      </c>
      <c r="AD18">
        <v>131.7100067138672</v>
      </c>
      <c r="AE18">
        <v>131.9100036621094</v>
      </c>
      <c r="AF18">
        <v>131.0399932861328</v>
      </c>
      <c r="AG18">
        <v>131.4199981689453</v>
      </c>
      <c r="AH18">
        <v>124.0400009155273</v>
      </c>
      <c r="AI18">
        <v>118.3899993896484</v>
      </c>
      <c r="AJ18">
        <v>118.6600036621094</v>
      </c>
      <c r="AK18">
        <v>118.1699981689453</v>
      </c>
      <c r="AL18">
        <v>119.1699981689453</v>
      </c>
      <c r="AM18">
        <v>112.7900009155273</v>
      </c>
      <c r="AN18">
        <v>112.4000015258789</v>
      </c>
      <c r="AO18">
        <v>114.4000015258789</v>
      </c>
      <c r="AP18">
        <v>111.9599990844727</v>
      </c>
      <c r="AQ18">
        <v>112.3300018310547</v>
      </c>
      <c r="AR18">
        <v>115.0400009155273</v>
      </c>
      <c r="AS18">
        <v>113.1600036621094</v>
      </c>
      <c r="AT18">
        <v>113.5</v>
      </c>
      <c r="AU18">
        <v>114.0699996948242</v>
      </c>
      <c r="AV18">
        <v>116.0199966430664</v>
      </c>
      <c r="AW18">
        <v>113.3000030517578</v>
      </c>
      <c r="AX18">
        <v>114.0199966430664</v>
      </c>
      <c r="AY18">
        <v>114.4300003051758</v>
      </c>
      <c r="AZ18">
        <v>112.1600036621094</v>
      </c>
      <c r="BA18">
        <v>113.1900024414062</v>
      </c>
      <c r="BB18">
        <v>116.1900024414062</v>
      </c>
      <c r="BC18">
        <v>116.3000030517578</v>
      </c>
      <c r="BD18">
        <v>118.620002746582</v>
      </c>
      <c r="BE18">
        <v>118.6399993896484</v>
      </c>
      <c r="BF18">
        <v>117.6100006103516</v>
      </c>
      <c r="BG18">
        <v>116.2799987792969</v>
      </c>
      <c r="BH18">
        <v>121.7600021362305</v>
      </c>
    </row>
    <row r="19" spans="1:60">
      <c r="A19" t="s">
        <v>18</v>
      </c>
      <c r="B19">
        <v>200.6199951171875</v>
      </c>
      <c r="C19">
        <v>202.1900024414062</v>
      </c>
      <c r="D19">
        <v>200.1399993896484</v>
      </c>
      <c r="E19">
        <v>205.6100006103516</v>
      </c>
      <c r="F19">
        <v>209.2299957275391</v>
      </c>
      <c r="G19">
        <v>207.9299926757812</v>
      </c>
      <c r="H19">
        <v>202.9499969482422</v>
      </c>
      <c r="I19">
        <v>201.8200073242188</v>
      </c>
      <c r="J19">
        <v>208.4499969482422</v>
      </c>
      <c r="K19">
        <v>206.6300048828125</v>
      </c>
      <c r="L19">
        <v>206.2799987792969</v>
      </c>
      <c r="M19">
        <v>207.9400024414062</v>
      </c>
      <c r="N19">
        <v>207.1300048828125</v>
      </c>
      <c r="O19">
        <v>203.8899993896484</v>
      </c>
      <c r="P19">
        <v>208.8699951171875</v>
      </c>
      <c r="Q19">
        <v>210.6499938964844</v>
      </c>
      <c r="R19">
        <v>209.8300018310547</v>
      </c>
      <c r="S19">
        <v>209.1499938964844</v>
      </c>
      <c r="T19">
        <v>212.5500030517578</v>
      </c>
      <c r="U19">
        <v>221.5599975585938</v>
      </c>
      <c r="V19">
        <v>214.3500061035156</v>
      </c>
      <c r="W19">
        <v>216.7799987792969</v>
      </c>
      <c r="X19">
        <v>218.1199951171875</v>
      </c>
      <c r="Y19">
        <v>220.7700042724609</v>
      </c>
      <c r="Z19">
        <v>221.0700073242188</v>
      </c>
      <c r="AA19">
        <v>221.5</v>
      </c>
      <c r="AB19">
        <v>218.5</v>
      </c>
      <c r="AC19">
        <v>216.6499938964844</v>
      </c>
      <c r="AD19">
        <v>216.0399932861328</v>
      </c>
      <c r="AE19">
        <v>222.6699981689453</v>
      </c>
      <c r="AF19">
        <v>224.5099945068359</v>
      </c>
      <c r="AG19">
        <v>220.8300018310547</v>
      </c>
      <c r="AH19">
        <v>212.5</v>
      </c>
      <c r="AI19">
        <v>210.7299957275391</v>
      </c>
      <c r="AJ19">
        <v>215.4299926757812</v>
      </c>
      <c r="AK19">
        <v>217.1499938964844</v>
      </c>
      <c r="AL19">
        <v>217.3600006103516</v>
      </c>
      <c r="AM19">
        <v>216.1699981689453</v>
      </c>
      <c r="AN19">
        <v>216.0099945068359</v>
      </c>
      <c r="AO19">
        <v>219.0500030517578</v>
      </c>
      <c r="AP19">
        <v>215.5</v>
      </c>
      <c r="AQ19">
        <v>219.0700073242188</v>
      </c>
      <c r="AR19">
        <v>225.3600006103516</v>
      </c>
      <c r="AS19">
        <v>227.5299987792969</v>
      </c>
      <c r="AT19">
        <v>226.3600006103516</v>
      </c>
      <c r="AU19">
        <v>227.6000061035156</v>
      </c>
      <c r="AV19">
        <v>228.6900024414062</v>
      </c>
      <c r="AW19">
        <v>227.0700073242188</v>
      </c>
      <c r="AX19">
        <v>225.8800048828125</v>
      </c>
      <c r="AY19">
        <v>222.8200073242188</v>
      </c>
      <c r="AZ19">
        <v>219.8800048828125</v>
      </c>
      <c r="BA19">
        <v>223.5899963378906</v>
      </c>
      <c r="BB19">
        <v>222.8899993896484</v>
      </c>
      <c r="BC19">
        <v>222.1499938964844</v>
      </c>
      <c r="BD19">
        <v>218.4299926757812</v>
      </c>
      <c r="BE19">
        <v>225.7100067138672</v>
      </c>
      <c r="BF19">
        <v>229.4100036621094</v>
      </c>
      <c r="BG19">
        <v>228.8999938964844</v>
      </c>
      <c r="BH19">
        <v>232.8300018310547</v>
      </c>
    </row>
    <row r="20" spans="1:60">
      <c r="A20" t="s">
        <v>19</v>
      </c>
      <c r="B20">
        <v>199.2563629150391</v>
      </c>
      <c r="C20">
        <v>202.126220703125</v>
      </c>
      <c r="D20">
        <v>206.3214111328125</v>
      </c>
      <c r="E20">
        <v>211.6625518798828</v>
      </c>
      <c r="F20">
        <v>207.9755706787109</v>
      </c>
      <c r="G20">
        <v>209.4005279541016</v>
      </c>
      <c r="H20">
        <v>208.2745056152344</v>
      </c>
      <c r="I20">
        <v>216.9139862060547</v>
      </c>
      <c r="J20">
        <v>221.1291198730469</v>
      </c>
      <c r="K20">
        <v>220.85009765625</v>
      </c>
      <c r="L20">
        <v>219.225830078125</v>
      </c>
      <c r="M20">
        <v>216.9937133789062</v>
      </c>
      <c r="N20">
        <v>218.199462890625</v>
      </c>
      <c r="O20">
        <v>218.3788146972656</v>
      </c>
      <c r="P20">
        <v>221.6572570800781</v>
      </c>
      <c r="Q20">
        <v>223.0423583984375</v>
      </c>
      <c r="R20">
        <v>226.5399932861328</v>
      </c>
      <c r="S20">
        <v>221.4499969482422</v>
      </c>
      <c r="T20">
        <v>221.4700012207031</v>
      </c>
      <c r="U20">
        <v>220.7299957275391</v>
      </c>
      <c r="V20">
        <v>212.4799957275391</v>
      </c>
      <c r="W20">
        <v>217.9100036621094</v>
      </c>
      <c r="X20">
        <v>216.2700042724609</v>
      </c>
      <c r="Y20">
        <v>216.2400054931641</v>
      </c>
      <c r="Z20">
        <v>217.2100067138672</v>
      </c>
      <c r="AA20">
        <v>216.6699981689453</v>
      </c>
      <c r="AB20">
        <v>215.6699981689453</v>
      </c>
      <c r="AC20">
        <v>214.5099945068359</v>
      </c>
      <c r="AD20">
        <v>211.3399963378906</v>
      </c>
      <c r="AE20">
        <v>216.6000061035156</v>
      </c>
      <c r="AF20">
        <v>220.5</v>
      </c>
      <c r="AG20">
        <v>219.6000061035156</v>
      </c>
      <c r="AH20">
        <v>213.9600067138672</v>
      </c>
      <c r="AI20">
        <v>210.8600006103516</v>
      </c>
      <c r="AJ20">
        <v>207.1100006103516</v>
      </c>
      <c r="AK20">
        <v>208.3000030517578</v>
      </c>
      <c r="AL20">
        <v>206.6799926757812</v>
      </c>
      <c r="AM20">
        <v>206.8500061035156</v>
      </c>
      <c r="AN20">
        <v>203.1900024414062</v>
      </c>
      <c r="AO20">
        <v>202.0399932861328</v>
      </c>
      <c r="AP20">
        <v>202.4299926757812</v>
      </c>
      <c r="AQ20">
        <v>204.9199981689453</v>
      </c>
      <c r="AR20">
        <v>200.5500030517578</v>
      </c>
      <c r="AS20">
        <v>196.1000061035156</v>
      </c>
      <c r="AT20">
        <v>196.6100006103516</v>
      </c>
      <c r="AU20">
        <v>200.1999969482422</v>
      </c>
      <c r="AV20">
        <v>196.4600067138672</v>
      </c>
      <c r="AW20">
        <v>196.4600067138672</v>
      </c>
      <c r="AX20">
        <v>193.0700073242188</v>
      </c>
      <c r="AY20">
        <v>194.4799957275391</v>
      </c>
      <c r="AZ20">
        <v>194.7200012207031</v>
      </c>
      <c r="BA20">
        <v>195.1399993896484</v>
      </c>
      <c r="BB20">
        <v>195.8200073242188</v>
      </c>
      <c r="BC20">
        <v>195.9100036621094</v>
      </c>
      <c r="BD20">
        <v>199.3999938964844</v>
      </c>
      <c r="BE20">
        <v>199.2599945068359</v>
      </c>
      <c r="BF20">
        <v>201.1399993896484</v>
      </c>
      <c r="BG20">
        <v>198.0700073242188</v>
      </c>
      <c r="BH20">
        <v>194.3500061035156</v>
      </c>
    </row>
    <row r="21" spans="1:60">
      <c r="A21" t="s">
        <v>20</v>
      </c>
      <c r="B21">
        <v>47.51980590820312</v>
      </c>
      <c r="C21">
        <v>47.56967926025391</v>
      </c>
      <c r="D21">
        <v>48.06841659545898</v>
      </c>
      <c r="E21">
        <v>45.47497940063477</v>
      </c>
      <c r="F21">
        <v>44.32787704467773</v>
      </c>
      <c r="G21">
        <v>47.02106857299805</v>
      </c>
      <c r="H21">
        <v>47.77915191650391</v>
      </c>
      <c r="I21">
        <v>50.11325073242188</v>
      </c>
      <c r="J21">
        <v>52.2578239440918</v>
      </c>
      <c r="K21">
        <v>53.08573150634766</v>
      </c>
      <c r="L21">
        <v>52.29772186279297</v>
      </c>
      <c r="M21">
        <v>53.08573150634766</v>
      </c>
      <c r="N21">
        <v>54.54204559326172</v>
      </c>
      <c r="O21">
        <v>54.24280166625977</v>
      </c>
      <c r="P21">
        <v>58.64167785644531</v>
      </c>
      <c r="Q21">
        <v>59.6690788269043</v>
      </c>
      <c r="R21">
        <v>58.5618782043457</v>
      </c>
      <c r="S21">
        <v>57.46465301513672</v>
      </c>
      <c r="T21">
        <v>55.54949569702148</v>
      </c>
      <c r="U21">
        <v>52.99595642089844</v>
      </c>
      <c r="V21">
        <v>52.75656127929688</v>
      </c>
      <c r="W21">
        <v>53.31515121459961</v>
      </c>
      <c r="X21">
        <v>52.29772186279297</v>
      </c>
      <c r="Y21">
        <v>53.30517196655273</v>
      </c>
      <c r="Z21">
        <v>55.09065628051758</v>
      </c>
      <c r="AA21">
        <v>54.27272796630859</v>
      </c>
      <c r="AB21">
        <v>52.17802429199219</v>
      </c>
      <c r="AC21">
        <v>52.10820388793945</v>
      </c>
      <c r="AD21">
        <v>50.74165725708008</v>
      </c>
      <c r="AE21">
        <v>51.69923782348633</v>
      </c>
      <c r="AF21">
        <v>54.30265045166016</v>
      </c>
      <c r="AG21">
        <v>51.86880493164062</v>
      </c>
      <c r="AH21">
        <v>55.88863754272461</v>
      </c>
      <c r="AI21">
        <v>58.75139999389648</v>
      </c>
      <c r="AJ21">
        <v>55.08068466186523</v>
      </c>
      <c r="AK21">
        <v>61.933349609375</v>
      </c>
      <c r="AL21">
        <v>55.27020263671875</v>
      </c>
      <c r="AM21">
        <v>55.73901748657227</v>
      </c>
      <c r="AN21">
        <v>56.5369987487793</v>
      </c>
      <c r="AO21">
        <v>61.04000091552734</v>
      </c>
      <c r="AP21">
        <v>60.7599983215332</v>
      </c>
      <c r="AQ21">
        <v>61.75</v>
      </c>
      <c r="AR21">
        <v>61.02999877929688</v>
      </c>
      <c r="AS21">
        <v>62.33000183105469</v>
      </c>
      <c r="AT21">
        <v>63.52000045776367</v>
      </c>
      <c r="AU21">
        <v>62.93999862670898</v>
      </c>
      <c r="AV21">
        <v>62.63000106811523</v>
      </c>
      <c r="AW21">
        <v>61.4900016784668</v>
      </c>
      <c r="AX21">
        <v>63.88999938964844</v>
      </c>
      <c r="AY21">
        <v>64.58000183105469</v>
      </c>
      <c r="AZ21">
        <v>69.33000183105469</v>
      </c>
      <c r="BA21">
        <v>68.36000061035156</v>
      </c>
      <c r="BB21">
        <v>70.48000335693359</v>
      </c>
      <c r="BC21">
        <v>72.08999633789062</v>
      </c>
      <c r="BD21">
        <v>71</v>
      </c>
      <c r="BE21">
        <v>73.45999908447266</v>
      </c>
      <c r="BF21">
        <v>70.33000183105469</v>
      </c>
      <c r="BG21">
        <v>68.80999755859375</v>
      </c>
      <c r="BH21">
        <v>63.11000061035156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Сводка</vt:lpstr>
      <vt:lpstr>Позиции</vt:lpstr>
      <vt:lpstr>Сделки</vt:lpstr>
      <vt:lpstr>Капитал</vt:lpstr>
      <vt:lpstr>Скрин</vt:lpstr>
      <vt:lpstr>Факторы</vt:lpstr>
      <vt:lpstr>Инфо</vt:lpstr>
      <vt:lpstr>_данные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S&amp;P 500 Screener — бумажный портфель</dc:title>
  <dc:creator>sp500-screener (GitHub Actions)</dc:creator>
  <dc:description>Автоматический отчёт. Все сделки виртуальные.</dc:description>
  <cp:lastModifiedBy>sp500-screener (GitHub Actions)</cp:lastModifiedBy>
  <dcterms:created xsi:type="dcterms:W3CDTF">2026-10-16T00:28:43Z</dcterms:created>
  <dcterms:modified xsi:type="dcterms:W3CDTF">2026-10-16T00:28:43Z</dcterms:modified>
</cp:coreProperties>
</file>