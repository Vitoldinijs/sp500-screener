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Сводка" sheetId="1" r:id="rId1"/>
    <sheet name="Позиции" sheetId="2" r:id="rId2"/>
    <sheet name="Сделки" sheetId="3" r:id="rId3"/>
    <sheet name="Капитал" sheetId="4" r:id="rId4"/>
    <sheet name="Скрин" sheetId="5" r:id="rId5"/>
    <sheet name="Факторы" sheetId="6" r:id="rId6"/>
    <sheet name="Инфо" sheetId="7" r:id="rId7"/>
    <sheet name="_данные" sheetId="8" state="hidden" r:id="rId8"/>
  </sheets>
  <definedNames>
    <definedName name="_xlnm._FilterDatabase" localSheetId="1" hidden="1">Позиции!$A$4:$P$10</definedName>
    <definedName name="_xlnm._FilterDatabase" localSheetId="4" hidden="1">Скрин!$A$4:$T$44</definedName>
  </definedNames>
  <calcPr calcId="124519" fullCalcOnLoad="1"/>
</workbook>
</file>

<file path=xl/sharedStrings.xml><?xml version="1.0" encoding="utf-8"?>
<sst xmlns="http://schemas.openxmlformats.org/spreadsheetml/2006/main" count="371" uniqueCount="237">
  <si>
    <t>DELL</t>
  </si>
  <si>
    <t>MU</t>
  </si>
  <si>
    <t>SNDK</t>
  </si>
  <si>
    <t>WDC</t>
  </si>
  <si>
    <t>VLO</t>
  </si>
  <si>
    <t>MPC</t>
  </si>
  <si>
    <t>Открытые позиции</t>
  </si>
  <si>
    <t>Лестница: одна покупка в день, холд 21 торговых дней. Жёлтая колонка «Тек. цена» — единственное, что нужно править вручную; остальное пересчитается формулами.</t>
  </si>
  <si>
    <t>Тикер</t>
  </si>
  <si>
    <t>Компания</t>
  </si>
  <si>
    <t>Сектор</t>
  </si>
  <si>
    <t>Дата входа</t>
  </si>
  <si>
    <t>Цена входа</t>
  </si>
  <si>
    <t>Акций</t>
  </si>
  <si>
    <t>Вложено</t>
  </si>
  <si>
    <t>Тек. цена</t>
  </si>
  <si>
    <t>Стоимость</t>
  </si>
  <si>
    <t>P&amp;L $</t>
  </si>
  <si>
    <t>P&amp;L %</t>
  </si>
  <si>
    <t>Дней держим</t>
  </si>
  <si>
    <t>До выхода</t>
  </si>
  <si>
    <t>Скор входа</t>
  </si>
  <si>
    <t>Проверка AV</t>
  </si>
  <si>
    <t>Динамика</t>
  </si>
  <si>
    <t>Dell Technologies</t>
  </si>
  <si>
    <t>Information Technology</t>
  </si>
  <si>
    <t>2026-08-25</t>
  </si>
  <si>
    <t>confirmed</t>
  </si>
  <si>
    <t>Micron Technology</t>
  </si>
  <si>
    <t>2026-08-26</t>
  </si>
  <si>
    <t>Sandisk</t>
  </si>
  <si>
    <t>2026-08-27</t>
  </si>
  <si>
    <t>Western Digital</t>
  </si>
  <si>
    <t>2026-08-28</t>
  </si>
  <si>
    <t>Valero Energy</t>
  </si>
  <si>
    <t>Energy</t>
  </si>
  <si>
    <t>2026-08-31</t>
  </si>
  <si>
    <t>Marathon Petroleum</t>
  </si>
  <si>
    <t>2026-09-01</t>
  </si>
  <si>
    <t>Итого</t>
  </si>
  <si>
    <t>Закрытые сделки</t>
  </si>
  <si>
    <t>Полный журнал. Каждая позиция закрывается по истечении срока удержания, по цене открытия следующей сессии.</t>
  </si>
  <si>
    <t>#</t>
  </si>
  <si>
    <t>Вход</t>
  </si>
  <si>
    <t>Выход</t>
  </si>
  <si>
    <t>Цена выхода</t>
  </si>
  <si>
    <t>Получено</t>
  </si>
  <si>
    <t>Дней</t>
  </si>
  <si>
    <t>Причина выхода</t>
  </si>
  <si>
    <t>Сделок ещё нет — первая закроется примерно через месяц после старта.</t>
  </si>
  <si>
    <t>Кривая капитала</t>
  </si>
  <si>
    <t>Портфель против бенчмарка (SPY), обе линии от одного стартового капитала.</t>
  </si>
  <si>
    <t>Дата</t>
  </si>
  <si>
    <t>Денежные средства</t>
  </si>
  <si>
    <t>Стоимость позиций</t>
  </si>
  <si>
    <t>Капитал</t>
  </si>
  <si>
    <t>Позиций</t>
  </si>
  <si>
    <t>Бенчмарк</t>
  </si>
  <si>
    <t>2026-08-24</t>
  </si>
  <si>
    <t>Скрин дня</t>
  </si>
  <si>
    <t>Кросс-секционные оценки: каждая метрика приведена к z-оценке внутри индекса, знак развёрнут так, что больше — всегда лучше.</t>
  </si>
  <si>
    <t>Цена</t>
  </si>
  <si>
    <t>Композит</t>
  </si>
  <si>
    <t>Блок: value</t>
  </si>
  <si>
    <t>Блок: quality</t>
  </si>
  <si>
    <t>Блок: growth</t>
  </si>
  <si>
    <t>Блок: momentum</t>
  </si>
  <si>
    <t>Блок: earnings</t>
  </si>
  <si>
    <t>Блок: risk</t>
  </si>
  <si>
    <t>Блок: technical</t>
  </si>
  <si>
    <t>P/E</t>
  </si>
  <si>
    <t>P/B</t>
  </si>
  <si>
    <t>ROE</t>
  </si>
  <si>
    <t>Рост выручки</t>
  </si>
  <si>
    <t>Момент. 6м</t>
  </si>
  <si>
    <t>RSI</t>
  </si>
  <si>
    <t>Статус</t>
  </si>
  <si>
    <t>проходит</t>
  </si>
  <si>
    <t>PSX</t>
  </si>
  <si>
    <t>Phillips 66</t>
  </si>
  <si>
    <t>OXY</t>
  </si>
  <si>
    <t>Occidental Petroleum</t>
  </si>
  <si>
    <t>APA</t>
  </si>
  <si>
    <t>APA Corporation</t>
  </si>
  <si>
    <t>CF</t>
  </si>
  <si>
    <t>CF Industries</t>
  </si>
  <si>
    <t>Materials</t>
  </si>
  <si>
    <t>CVX</t>
  </si>
  <si>
    <t>Chevron Corporation</t>
  </si>
  <si>
    <t>EOG</t>
  </si>
  <si>
    <t>EOG Resources</t>
  </si>
  <si>
    <t>NVDA</t>
  </si>
  <si>
    <t>Nvidia</t>
  </si>
  <si>
    <t>ALL</t>
  </si>
  <si>
    <t>Allstate</t>
  </si>
  <si>
    <t>Financials</t>
  </si>
  <si>
    <t>AMGN</t>
  </si>
  <si>
    <t>Amgen</t>
  </si>
  <si>
    <t>Health Care</t>
  </si>
  <si>
    <t>BMY</t>
  </si>
  <si>
    <t>Bristol Myers Squibb</t>
  </si>
  <si>
    <t>INCY</t>
  </si>
  <si>
    <t>Incyte</t>
  </si>
  <si>
    <t>EXPE</t>
  </si>
  <si>
    <t>Expedia Group</t>
  </si>
  <si>
    <t>Consumer Discretionary</t>
  </si>
  <si>
    <t>CRM</t>
  </si>
  <si>
    <t>Salesforce</t>
  </si>
  <si>
    <t>COF</t>
  </si>
  <si>
    <t>Capital One</t>
  </si>
  <si>
    <t>FTNT</t>
  </si>
  <si>
    <t>Fortinet</t>
  </si>
  <si>
    <t>GEN</t>
  </si>
  <si>
    <t>Gen Digital</t>
  </si>
  <si>
    <t>TGT</t>
  </si>
  <si>
    <t>Target Corporation</t>
  </si>
  <si>
    <t>Consumer Staples</t>
  </si>
  <si>
    <t>MO</t>
  </si>
  <si>
    <t>Altria</t>
  </si>
  <si>
    <t>COP</t>
  </si>
  <si>
    <t>ConocoPhillips</t>
  </si>
  <si>
    <t>SCHW</t>
  </si>
  <si>
    <t>Charles Schwab Corporation</t>
  </si>
  <si>
    <t>TRV</t>
  </si>
  <si>
    <t>Travelers Companies (The)</t>
  </si>
  <si>
    <t>FANG</t>
  </si>
  <si>
    <t>Diamondback Energy</t>
  </si>
  <si>
    <t>HUM</t>
  </si>
  <si>
    <t>Humana</t>
  </si>
  <si>
    <t>MS</t>
  </si>
  <si>
    <t>Morgan Stanley</t>
  </si>
  <si>
    <t>HPE</t>
  </si>
  <si>
    <t>Hewlett Packard Enterprise</t>
  </si>
  <si>
    <t>MA</t>
  </si>
  <si>
    <t>Mastercard</t>
  </si>
  <si>
    <t>WAT</t>
  </si>
  <si>
    <t>Waters Corporation</t>
  </si>
  <si>
    <t>VEEV</t>
  </si>
  <si>
    <t>Veeva Systems</t>
  </si>
  <si>
    <t>NTAP</t>
  </si>
  <si>
    <t>NetApp</t>
  </si>
  <si>
    <t>HAS</t>
  </si>
  <si>
    <t>Hasbro</t>
  </si>
  <si>
    <t>RJF</t>
  </si>
  <si>
    <t>Raymond James Financial</t>
  </si>
  <si>
    <t>HPQ</t>
  </si>
  <si>
    <t>HP Inc.</t>
  </si>
  <si>
    <t>V</t>
  </si>
  <si>
    <t>Visa Inc.</t>
  </si>
  <si>
    <t>GS</t>
  </si>
  <si>
    <t>Goldman Sachs</t>
  </si>
  <si>
    <t>Факторы и самообучение</t>
  </si>
  <si>
    <t>Веса блоков подстраиваются раз в месяц по прогнозной силе на истории, в узких границах и с откатом при ухудшении.</t>
  </si>
  <si>
    <t>Текущие веса блоков</t>
  </si>
  <si>
    <t>Блок</t>
  </si>
  <si>
    <t>Вес</t>
  </si>
  <si>
    <t>Метрики внутри блока</t>
  </si>
  <si>
    <t>value</t>
  </si>
  <si>
    <t>pe_ratio, pb_ratio, ev_ebitda, ps_ratio, fcf_yield</t>
  </si>
  <si>
    <t>quality</t>
  </si>
  <si>
    <t>roe, gross_margin, net_margin</t>
  </si>
  <si>
    <t>growth</t>
  </si>
  <si>
    <t>revenue_growth, earnings_growth</t>
  </si>
  <si>
    <t>momentum</t>
  </si>
  <si>
    <t>mom_3m, mom_6m, mom_12m_1m, above_ma200, above_ma50, dist_52w_high</t>
  </si>
  <si>
    <t>earnings</t>
  </si>
  <si>
    <t>earnings_surprise_pct</t>
  </si>
  <si>
    <t>risk</t>
  </si>
  <si>
    <t>volatility</t>
  </si>
  <si>
    <t>technical</t>
  </si>
  <si>
    <t>rsi14, macd_hist</t>
  </si>
  <si>
    <t>Сумма</t>
  </si>
  <si>
    <t>Журнал изменений весов</t>
  </si>
  <si>
    <t>Пока пусто. Подстройка включится после 40 закрытых сделок и накопления истории.</t>
  </si>
  <si>
    <t>Что означает IC</t>
  </si>
  <si>
    <t>IC (information coefficient) — ранговая корреляция между оценкой блока и фактической доходностью следующих 21 торговых дней. 0 означает отсутствие прогнозной силы, 0.02–0.05 для факторных моделей на акциях считается рабочим уровнем. Отрицательный IC на длинном окне — сигнал, что блок работает против нас, и его вес будет снижен до нижней границы.</t>
  </si>
  <si>
    <t>Бумажный портфель S&amp;P 500</t>
  </si>
  <si>
    <t>Обновлено 2026-09-02 09:55 UTC · данные на 2026-09-01 · стратегия «ladder-momentum-value» · все сделки виртуальные</t>
  </si>
  <si>
    <t>Доходность</t>
  </si>
  <si>
    <t>Бенчмарк SPY</t>
  </si>
  <si>
    <t>Макс. просадка</t>
  </si>
  <si>
    <t>Sharpe</t>
  </si>
  <si>
    <t>Сделок закрыто</t>
  </si>
  <si>
    <t>Доля прибыльных</t>
  </si>
  <si>
    <t>—</t>
  </si>
  <si>
    <t>Открыто позиций</t>
  </si>
  <si>
    <t>Состояние портфеля</t>
  </si>
  <si>
    <t>Стартовый капитал</t>
  </si>
  <si>
    <t>Слотов всего</t>
  </si>
  <si>
    <t>Слотов свободно</t>
  </si>
  <si>
    <t>Ордеров в очереди</t>
  </si>
  <si>
    <t>Срок удержания, дней</t>
  </si>
  <si>
    <t>Средний срок сделки, дней</t>
  </si>
  <si>
    <t>Средняя прибыль сделки</t>
  </si>
  <si>
    <t>Средний убыток сделки</t>
  </si>
  <si>
    <t>Profit factor</t>
  </si>
  <si>
    <t>Волатильность, годовая</t>
  </si>
  <si>
    <t>Дней в работе</t>
  </si>
  <si>
    <t>Капитал по листу «Позиции»</t>
  </si>
  <si>
    <t>Эта строка считается формулой: поправь «Тек. цена» на листе «Позиции» — значение пересчитается.</t>
  </si>
  <si>
    <t>Распределение по секторам</t>
  </si>
  <si>
    <t>Как это работает и чему не стоит верить</t>
  </si>
  <si>
    <t>Параметры запуска</t>
  </si>
  <si>
    <t>Время запуска (UTC)</t>
  </si>
  <si>
    <t>2026-09-02 09:55 UTC</t>
  </si>
  <si>
    <t>Дата данных</t>
  </si>
  <si>
    <t>Тикеров во вселенной</t>
  </si>
  <si>
    <t>503</t>
  </si>
  <si>
    <t>Прошли фильтры</t>
  </si>
  <si>
    <t>415</t>
  </si>
  <si>
    <t>Кандидат дня</t>
  </si>
  <si>
    <t>Проверка Alpha Vantage</t>
  </si>
  <si>
    <t>Комментарий проверки</t>
  </si>
  <si>
    <t>price confirmed; OVERVIEW unavailable</t>
  </si>
  <si>
    <t>Запросов AV использовано</t>
  </si>
  <si>
    <t>6</t>
  </si>
  <si>
    <t>Источник цен</t>
  </si>
  <si>
    <t>yfinance</t>
  </si>
  <si>
    <t>Фундаментал на дату</t>
  </si>
  <si>
    <t>2026-08-30</t>
  </si>
  <si>
    <t>Версия состояния</t>
  </si>
  <si>
    <t>2</t>
  </si>
  <si>
    <t>Регламент данных</t>
  </si>
  <si>
    <t>Ежедневно</t>
  </si>
  <si>
    <t>Один пакетный запрос OHLCV по всей вселенной. Отсюда RSI, момент и переоценка позиций.</t>
  </si>
  <si>
    <t>Раз в неделю</t>
  </si>
  <si>
    <t>Обновление фундаментальных коэффициентов. Они меняются только с квартальными отчётами, ежедневный опрос 500 тикеров — лишний риск блокировки.</t>
  </si>
  <si>
    <t>Alpha Vantage</t>
  </si>
  <si>
    <t>1–2 запроса в день: сверка цены и коэффициентов только для финального кандидата. Бесплатный лимит ~25/день.</t>
  </si>
  <si>
    <t>Исполнение</t>
  </si>
  <si>
    <t>Сигнал считается по закрытию дня T, сделка исполняется по цене открытия дня T+1. Это исключает подглядывание в будущее.</t>
  </si>
  <si>
    <t>Честные оговорки</t>
  </si>
  <si>
    <t>Состав индекса берётся текущий. Форвардная торговля от этого не страдает, но исторические расчёты внутри модуля самообучения содержат смещение выжившего: компании, вылетевшие из индекса, в выборке не участвуют.</t>
  </si>
  <si>
    <t>История фундаментальных показателей начинает накапливаться только с момента запуска бота. Пока её мало, самообучение почти целиком опирается на ценовые факторы, а веса фундаментальных блоков двигаются медленно.</t>
  </si>
  <si>
    <t>Проскальзывание смоделировано фиксированной величиной в базисных пунктах. Реальное исполнение на открытии бывает хуже, особенно в дни отчётностей.</t>
  </si>
  <si>
    <t>Портфель из ~21 бумаги концентрирован. Отдельная позиция может дать просадку, которую индекс даже не заметит.</t>
  </si>
  <si>
    <t>Это учебный проект и бумажная торговля. Ничто здесь не является инвестиционной рекомендацией.</t>
  </si>
</sst>
</file>

<file path=xl/styles.xml><?xml version="1.0" encoding="utf-8"?>
<styleSheet xmlns="http://schemas.openxmlformats.org/spreadsheetml/2006/main">
  <numFmts count="6">
    <numFmt numFmtId="164" formatCode="$#,##0.00"/>
    <numFmt numFmtId="165" formatCode="0.0%"/>
    <numFmt numFmtId="166" formatCode="yyyy-mm-dd"/>
    <numFmt numFmtId="167" formatCode="0.000"/>
    <numFmt numFmtId="168" formatCode="0.00%"/>
    <numFmt numFmtId="169" formatCode="0.00"/>
  </numFmts>
  <fonts count="12">
    <font>
      <sz val="11"/>
      <color theme="1"/>
      <name val="Calibri"/>
      <family val="2"/>
      <scheme val="minor"/>
    </font>
    <font>
      <b/>
      <sz val="20"/>
      <color rgb="FF1F2933"/>
      <name val="Arial"/>
      <family val="2"/>
    </font>
    <font>
      <sz val="10"/>
      <color rgb="FF7B8794"/>
      <name val="Arial"/>
      <family val="2"/>
    </font>
    <font>
      <sz val="9"/>
      <color rgb="FF7B8794"/>
      <name val="Arial"/>
      <family val="2"/>
    </font>
    <font>
      <b/>
      <sz val="18"/>
      <color rgb="FF1F2933"/>
      <name val="Arial"/>
      <family val="2"/>
    </font>
    <font>
      <b/>
      <sz val="18"/>
      <color rgb="FFD64545"/>
      <name val="Arial"/>
      <family val="2"/>
    </font>
    <font>
      <b/>
      <sz val="12"/>
      <color rgb="FF1F2933"/>
      <name val="Arial"/>
      <family val="2"/>
    </font>
    <font>
      <sz val="10"/>
      <color rgb="FF1F2933"/>
      <name val="Arial"/>
      <family val="2"/>
    </font>
    <font>
      <b/>
      <sz val="10"/>
      <color rgb="FF1F2933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9"/>
      <color rgb="FF8B6D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334E68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FFF9DB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rgb="FFD9E2EC"/>
      </bottom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  <border>
      <left style="thin">
        <color rgb="FF334E68"/>
      </left>
      <right style="thin">
        <color rgb="FF334E68"/>
      </right>
      <top style="thin">
        <color rgb="FF334E68"/>
      </top>
      <bottom style="thin">
        <color rgb="FF334E68"/>
      </bottom>
      <diagonal/>
    </border>
    <border>
      <left style="thin">
        <color rgb="FFF0D48A"/>
      </left>
      <right style="thin">
        <color rgb="FFF0D48A"/>
      </right>
      <top style="thin">
        <color rgb="FFF0D48A"/>
      </top>
      <bottom style="thin">
        <color rgb="FFF0D48A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4" fillId="0" borderId="0" xfId="0" applyNumberFormat="1" applyFont="1"/>
    <xf numFmtId="165" fontId="5" fillId="0" borderId="0" xfId="0" applyNumberFormat="1" applyFont="1"/>
    <xf numFmtId="0" fontId="4" fillId="0" borderId="0" xfId="0" applyFont="1"/>
    <xf numFmtId="0" fontId="6" fillId="0" borderId="1" xfId="0" applyFont="1" applyBorder="1"/>
    <xf numFmtId="0" fontId="7" fillId="0" borderId="2" xfId="0" applyFont="1" applyBorder="1" applyAlignment="1">
      <alignment horizontal="left"/>
    </xf>
    <xf numFmtId="164" fontId="7" fillId="0" borderId="2" xfId="0" applyNumberFormat="1" applyFont="1" applyBorder="1"/>
    <xf numFmtId="1" fontId="7" fillId="0" borderId="2" xfId="0" applyNumberFormat="1" applyFont="1" applyBorder="1"/>
    <xf numFmtId="165" fontId="7" fillId="0" borderId="2" xfId="0" applyNumberFormat="1" applyFont="1" applyBorder="1"/>
    <xf numFmtId="0" fontId="8" fillId="0" borderId="0" xfId="0" applyFont="1"/>
    <xf numFmtId="0" fontId="3" fillId="0" borderId="0" xfId="0" applyFont="1" applyAlignment="1">
      <alignment vertical="top" wrapText="1"/>
    </xf>
    <xf numFmtId="0" fontId="9" fillId="2" borderId="3" xfId="0" applyFont="1" applyFill="1" applyBorder="1" applyAlignment="1">
      <alignment horizontal="center" vertical="center" wrapText="1"/>
    </xf>
    <xf numFmtId="166" fontId="7" fillId="0" borderId="2" xfId="0" applyNumberFormat="1" applyFont="1" applyBorder="1" applyAlignment="1">
      <alignment horizontal="center"/>
    </xf>
    <xf numFmtId="167" fontId="7" fillId="0" borderId="2" xfId="0" applyNumberFormat="1" applyFont="1" applyBorder="1"/>
    <xf numFmtId="164" fontId="10" fillId="3" borderId="2" xfId="0" applyNumberFormat="1" applyFont="1" applyFill="1" applyBorder="1"/>
    <xf numFmtId="168" fontId="7" fillId="0" borderId="2" xfId="0" applyNumberFormat="1" applyFont="1" applyBorder="1"/>
    <xf numFmtId="169" fontId="7" fillId="0" borderId="2" xfId="0" applyNumberFormat="1" applyFont="1" applyBorder="1"/>
    <xf numFmtId="0" fontId="11" fillId="4" borderId="4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Arial"/>
              </a:defRPr>
            </a:pPr>
            <a:r>
              <a:rPr lang="en-US" sz="1100" baseline="0">
                <a:latin typeface="Arial"/>
              </a:rPr>
              <a:t>Секторы портфеля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Секторы</c:v>
          </c:tx>
          <c:dLbls>
            <c:txPr>
              <a:bodyPr/>
              <a:lstStyle/>
              <a:p>
                <a:pPr>
                  <a:defRPr sz="800" baseline="0">
                    <a:latin typeface="Arial"/>
                  </a:defRPr>
                </a:pPr>
                <a:endParaRPr lang="en-US"/>
              </a:p>
            </c:txPr>
            <c:showPercent val="1"/>
          </c:dLbls>
          <c:cat>
            <c:strRef>
              <c:f>Сводка!$B$33:$B$34</c:f>
              <c:strCache>
                <c:ptCount val="2"/>
                <c:pt idx="0">
                  <c:v>Information Technology</c:v>
                </c:pt>
                <c:pt idx="1">
                  <c:v>Energy</c:v>
                </c:pt>
              </c:strCache>
            </c:strRef>
          </c:cat>
          <c:val>
            <c:numRef>
              <c:f>Сводка!$C$33:$C$34</c:f>
              <c:numCache>
                <c:formatCode>General</c:formatCode>
                <c:ptCount val="2"/>
                <c:pt idx="0">
                  <c:v>1875</c:v>
                </c:pt>
                <c:pt idx="1">
                  <c:v>958.12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Arial"/>
              </a:defRPr>
            </a:pPr>
            <a:r>
              <a:rPr lang="en-US" sz="1100" baseline="0">
                <a:latin typeface="Arial"/>
              </a:rPr>
              <a:t>Капитал портфеля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Портфель</c:v>
          </c:tx>
          <c:spPr>
            <a:ln w="25400">
              <a:solidFill>
                <a:srgbClr val="0B5FFF"/>
              </a:solidFill>
            </a:ln>
          </c:spPr>
          <c:marker>
            <c:symbol val="none"/>
          </c:marker>
          <c:cat>
            <c:strRef>
              <c:f>Капитал!$A$5:$A$11</c:f>
              <c:strCache>
                <c:ptCount val="7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</c:strCache>
            </c:strRef>
          </c:cat>
          <c:val>
            <c:numRef>
              <c:f>Капитал!$D$5:$D$11</c:f>
              <c:numCache>
                <c:formatCode>General</c:formatCode>
                <c:ptCount val="7"/>
                <c:pt idx="0">
                  <c:v>10000.0</c:v>
                </c:pt>
                <c:pt idx="1">
                  <c:v>10009.01</c:v>
                </c:pt>
                <c:pt idx="2">
                  <c:v>10028.53</c:v>
                </c:pt>
                <c:pt idx="3">
                  <c:v>10015.949999999999</c:v>
                </c:pt>
                <c:pt idx="4">
                  <c:v>9994.27</c:v>
                </c:pt>
                <c:pt idx="5">
                  <c:v>10021.720000000001</c:v>
                </c:pt>
                <c:pt idx="6">
                  <c:v>9972.67</c:v>
                </c:pt>
              </c:numCache>
            </c:numRef>
          </c:val>
        </c:ser>
        <c:ser>
          <c:idx val="1"/>
          <c:order val="1"/>
          <c:tx>
            <c:v>S&amp;P 500 (SPY)</c:v>
          </c:tx>
          <c:spPr>
            <a:ln w="15875">
              <a:solidFill>
                <a:srgbClr val="7B8794"/>
              </a:solidFill>
              <a:prstDash val="dash"/>
            </a:ln>
          </c:spPr>
          <c:marker>
            <c:symbol val="none"/>
          </c:marker>
          <c:cat>
            <c:strRef>
              <c:f>Капитал!$A$5:$A$11</c:f>
              <c:strCache>
                <c:ptCount val="7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</c:strCache>
            </c:strRef>
          </c:cat>
          <c:val>
            <c:numRef>
              <c:f>Капитал!$F$5:$F$11</c:f>
              <c:numCache>
                <c:formatCode>General</c:formatCode>
                <c:ptCount val="7"/>
                <c:pt idx="0">
                  <c:v>10000</c:v>
                </c:pt>
                <c:pt idx="1">
                  <c:v>10031.96</c:v>
                </c:pt>
                <c:pt idx="2">
                  <c:v>10034.19</c:v>
                </c:pt>
                <c:pt idx="3">
                  <c:v>10099.94</c:v>
                </c:pt>
                <c:pt idx="4">
                  <c:v>10077.02</c:v>
                </c:pt>
                <c:pt idx="5">
                  <c:v>10046.89</c:v>
                </c:pt>
                <c:pt idx="6">
                  <c:v>9977.860000000001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$#,##0" sourceLinked="0"/>
        <c:tickLblPos val="nextTo"/>
        <c:txPr>
          <a:bodyPr/>
          <a:lstStyle/>
          <a:p>
            <a:pPr>
              <a:defRPr sz="900" baseline="0">
                <a:latin typeface="Arial"/>
              </a:defRPr>
            </a:pPr>
            <a:endParaRPr lang="en-US"/>
          </a:p>
        </c:txPr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>
                <a:latin typeface="Arial"/>
              </a:defRPr>
            </a:pPr>
            <a:r>
              <a:rPr lang="en-US" sz="1200" baseline="0">
                <a:latin typeface="Arial"/>
              </a:rPr>
              <a:t>Капитал во времени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Портфель</c:v>
          </c:tx>
          <c:spPr>
            <a:ln w="25400">
              <a:solidFill>
                <a:srgbClr val="0B5FFF"/>
              </a:solidFill>
            </a:ln>
          </c:spPr>
          <c:marker>
            <c:symbol val="none"/>
          </c:marker>
          <c:cat>
            <c:strRef>
              <c:f>Капитал!$A$5:$A$11</c:f>
              <c:strCache>
                <c:ptCount val="7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</c:strCache>
            </c:strRef>
          </c:cat>
          <c:val>
            <c:numRef>
              <c:f>Капитал!$D$5:$D$11</c:f>
              <c:numCache>
                <c:formatCode>General</c:formatCode>
                <c:ptCount val="7"/>
                <c:pt idx="0">
                  <c:v>10000.0</c:v>
                </c:pt>
                <c:pt idx="1">
                  <c:v>10009.01</c:v>
                </c:pt>
                <c:pt idx="2">
                  <c:v>10028.53</c:v>
                </c:pt>
                <c:pt idx="3">
                  <c:v>10015.949999999999</c:v>
                </c:pt>
                <c:pt idx="4">
                  <c:v>9994.27</c:v>
                </c:pt>
                <c:pt idx="5">
                  <c:v>10021.720000000001</c:v>
                </c:pt>
                <c:pt idx="6">
                  <c:v>9972.67</c:v>
                </c:pt>
              </c:numCache>
            </c:numRef>
          </c:val>
        </c:ser>
        <c:ser>
          <c:idx val="1"/>
          <c:order val="1"/>
          <c:tx>
            <c:v>S&amp;P 500 (SPY)</c:v>
          </c:tx>
          <c:spPr>
            <a:ln w="15875">
              <a:solidFill>
                <a:srgbClr val="7B8794"/>
              </a:solidFill>
              <a:prstDash val="dash"/>
            </a:ln>
          </c:spPr>
          <c:marker>
            <c:symbol val="none"/>
          </c:marker>
          <c:cat>
            <c:strRef>
              <c:f>Капитал!$A$5:$A$11</c:f>
              <c:strCache>
                <c:ptCount val="7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</c:strCache>
            </c:strRef>
          </c:cat>
          <c:val>
            <c:numRef>
              <c:f>Капитал!$F$5:$F$11</c:f>
              <c:numCache>
                <c:formatCode>General</c:formatCode>
                <c:ptCount val="7"/>
                <c:pt idx="0">
                  <c:v>10000</c:v>
                </c:pt>
                <c:pt idx="1">
                  <c:v>10031.96</c:v>
                </c:pt>
                <c:pt idx="2">
                  <c:v>10034.19</c:v>
                </c:pt>
                <c:pt idx="3">
                  <c:v>10099.94</c:v>
                </c:pt>
                <c:pt idx="4">
                  <c:v>10077.02</c:v>
                </c:pt>
                <c:pt idx="5">
                  <c:v>10046.89</c:v>
                </c:pt>
                <c:pt idx="6">
                  <c:v>9977.860000000001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>
          <c:spPr>
            <a:ln>
              <a:solidFill>
                <a:srgbClr val="D9E2EC"/>
              </a:solidFill>
            </a:ln>
          </c:spPr>
        </c:majorGridlines>
        <c:numFmt formatCode="$#,##0" sourceLinked="0"/>
        <c:tickLblPos val="nextTo"/>
        <c:txPr>
          <a:bodyPr/>
          <a:lstStyle/>
          <a:p>
            <a:pPr>
              <a:defRPr sz="900" baseline="0">
                <a:latin typeface="Arial"/>
              </a:defRPr>
            </a:pPr>
            <a:endParaRPr lang="en-US"/>
          </a:p>
        </c:txPr>
        <c:crossAx val="5003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31</xdr:row>
      <xdr:rowOff>0</xdr:rowOff>
    </xdr:from>
    <xdr:to>
      <xdr:col>7</xdr:col>
      <xdr:colOff>666750</xdr:colOff>
      <xdr:row>44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11</xdr:row>
      <xdr:rowOff>0</xdr:rowOff>
    </xdr:from>
    <xdr:to>
      <xdr:col>10</xdr:col>
      <xdr:colOff>57150</xdr:colOff>
      <xdr:row>24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4</xdr:row>
      <xdr:rowOff>0</xdr:rowOff>
    </xdr:from>
    <xdr:to>
      <xdr:col>18</xdr:col>
      <xdr:colOff>533400</xdr:colOff>
      <xdr:row>20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2:H34"/>
  <sheetViews>
    <sheetView showGridLines="0" tabSelected="1" workbookViewId="0"/>
  </sheetViews>
  <sheetFormatPr defaultRowHeight="15"/>
  <cols>
    <col min="1" max="1" width="26.7109375" customWidth="1"/>
    <col min="2" max="2" width="14.7109375" customWidth="1"/>
    <col min="3" max="9" width="15.7109375" customWidth="1"/>
  </cols>
  <sheetData>
    <row r="2" spans="2:8">
      <c r="B2" s="1" t="s">
        <v>176</v>
      </c>
    </row>
    <row r="3" spans="2:8">
      <c r="B3" s="2" t="s">
        <v>177</v>
      </c>
    </row>
    <row r="5" spans="2:8">
      <c r="B5" s="3" t="s">
        <v>55</v>
      </c>
      <c r="D5" s="3" t="s">
        <v>178</v>
      </c>
      <c r="F5" s="3" t="s">
        <v>179</v>
      </c>
      <c r="H5" s="3" t="s">
        <v>180</v>
      </c>
    </row>
    <row r="6" spans="2:8">
      <c r="B6" s="4">
        <v>9972.669999999998</v>
      </c>
      <c r="D6" s="5">
        <v>-0.002733000000000207</v>
      </c>
      <c r="F6" s="5">
        <v>-0.002213999999999938</v>
      </c>
      <c r="H6" s="5">
        <v>-0.005570108480505209</v>
      </c>
    </row>
    <row r="8" spans="2:8">
      <c r="B8" s="3" t="s">
        <v>181</v>
      </c>
      <c r="D8" s="3" t="s">
        <v>182</v>
      </c>
      <c r="F8" s="3" t="s">
        <v>183</v>
      </c>
      <c r="H8" s="3" t="s">
        <v>185</v>
      </c>
    </row>
    <row r="9" spans="2:8">
      <c r="B9" s="6">
        <v>-2.743637704961072</v>
      </c>
      <c r="D9" s="6">
        <v>0</v>
      </c>
      <c r="F9" s="6" t="s">
        <v>184</v>
      </c>
      <c r="H9" s="6">
        <v>6</v>
      </c>
    </row>
    <row r="12" spans="2:8">
      <c r="B12" s="7" t="s">
        <v>186</v>
      </c>
    </row>
    <row r="13" spans="2:8">
      <c r="B13" s="8" t="s">
        <v>53</v>
      </c>
      <c r="C13" s="9">
        <v>7139.549999999999</v>
      </c>
    </row>
    <row r="14" spans="2:8">
      <c r="B14" s="8" t="s">
        <v>54</v>
      </c>
      <c r="C14" s="9">
        <v>2833.12</v>
      </c>
    </row>
    <row r="15" spans="2:8">
      <c r="B15" s="8" t="s">
        <v>55</v>
      </c>
      <c r="C15" s="9">
        <v>9972.669999999998</v>
      </c>
    </row>
    <row r="16" spans="2:8">
      <c r="B16" s="8" t="s">
        <v>187</v>
      </c>
      <c r="C16" s="9">
        <v>10000</v>
      </c>
    </row>
    <row r="17" spans="1:3">
      <c r="B17" s="8" t="s">
        <v>188</v>
      </c>
      <c r="C17" s="10">
        <v>21</v>
      </c>
    </row>
    <row r="18" spans="1:3">
      <c r="B18" s="8" t="s">
        <v>189</v>
      </c>
      <c r="C18" s="10">
        <v>14</v>
      </c>
    </row>
    <row r="19" spans="1:3">
      <c r="B19" s="8" t="s">
        <v>190</v>
      </c>
      <c r="C19" s="10">
        <v>1</v>
      </c>
    </row>
    <row r="20" spans="1:3">
      <c r="B20" s="8" t="s">
        <v>191</v>
      </c>
      <c r="C20" s="10">
        <v>21</v>
      </c>
    </row>
    <row r="21" spans="1:3">
      <c r="B21" s="8" t="s">
        <v>192</v>
      </c>
      <c r="C21" s="8" t="s">
        <v>184</v>
      </c>
    </row>
    <row r="22" spans="1:3">
      <c r="B22" s="8" t="s">
        <v>193</v>
      </c>
      <c r="C22" s="8" t="s">
        <v>184</v>
      </c>
    </row>
    <row r="23" spans="1:3">
      <c r="B23" s="8" t="s">
        <v>194</v>
      </c>
      <c r="C23" s="8" t="s">
        <v>184</v>
      </c>
    </row>
    <row r="24" spans="1:3">
      <c r="B24" s="8" t="s">
        <v>195</v>
      </c>
      <c r="C24" s="8" t="s">
        <v>184</v>
      </c>
    </row>
    <row r="25" spans="1:3">
      <c r="B25" s="8" t="s">
        <v>196</v>
      </c>
      <c r="C25" s="11">
        <v>0.04156959301664937</v>
      </c>
    </row>
    <row r="26" spans="1:3">
      <c r="B26" s="8" t="s">
        <v>197</v>
      </c>
      <c r="C26" s="10">
        <v>7</v>
      </c>
    </row>
    <row r="28" spans="1:3">
      <c r="B28" s="12" t="s">
        <v>198</v>
      </c>
      <c r="C28" s="9">
        <f>C13+IFERROR(SUM('Позиции'!I5:I200),0)</f>
        <v>9972.669999999998</v>
      </c>
    </row>
    <row r="29" spans="1:3">
      <c r="B29" s="13" t="s">
        <v>199</v>
      </c>
    </row>
    <row r="31" spans="1:3">
      <c r="B31" s="7" t="s">
        <v>200</v>
      </c>
    </row>
    <row r="32" spans="1:3" ht="30" customHeight="1">
      <c r="A32" s="14" t="s">
        <v>10</v>
      </c>
      <c r="B32" s="14" t="s">
        <v>16</v>
      </c>
    </row>
    <row r="33" spans="2:3">
      <c r="B33" s="8" t="s">
        <v>25</v>
      </c>
      <c r="C33" s="9">
        <v>1875</v>
      </c>
    </row>
    <row r="34" spans="2:3">
      <c r="B34" s="8" t="s">
        <v>35</v>
      </c>
      <c r="C34" s="9">
        <v>958.12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1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 x14ac:dyDescent="0.25"/>
  <cols>
    <col min="1" max="1" width="9.7109375" customWidth="1"/>
    <col min="2" max="2" width="26.7109375" customWidth="1"/>
    <col min="3" max="3" width="22.7109375" customWidth="1"/>
    <col min="4" max="4" width="12.7109375" customWidth="1"/>
    <col min="5" max="5" width="11.7109375" customWidth="1"/>
    <col min="6" max="6" width="10.7109375" customWidth="1"/>
    <col min="7" max="8" width="11.7109375" customWidth="1"/>
    <col min="9" max="9" width="12.7109375" customWidth="1"/>
    <col min="10" max="10" width="11.7109375" customWidth="1"/>
    <col min="11" max="11" width="9.7109375" customWidth="1"/>
    <col min="12" max="12" width="12.7109375" customWidth="1"/>
    <col min="13" max="14" width="11.7109375" customWidth="1"/>
    <col min="15" max="16" width="14.7109375" customWidth="1"/>
  </cols>
  <sheetData>
    <row r="1" spans="1:16" x14ac:dyDescent="0.25">
      <c r="A1" s="1" t="s">
        <v>6</v>
      </c>
    </row>
    <row r="2" spans="1:16" x14ac:dyDescent="0.25">
      <c r="A2" s="2" t="s">
        <v>7</v>
      </c>
    </row>
    <row r="4" spans="1:16" ht="30" customHeight="1" x14ac:dyDescent="0.25">
      <c r="A4" s="14" t="s">
        <v>8</v>
      </c>
      <c r="B4" s="14" t="s">
        <v>9</v>
      </c>
      <c r="C4" s="14" t="s">
        <v>10</v>
      </c>
      <c r="D4" s="14" t="s">
        <v>11</v>
      </c>
      <c r="E4" s="14" t="s">
        <v>12</v>
      </c>
      <c r="F4" s="14" t="s">
        <v>13</v>
      </c>
      <c r="G4" s="14" t="s">
        <v>14</v>
      </c>
      <c r="H4" s="14" t="s">
        <v>15</v>
      </c>
      <c r="I4" s="14" t="s">
        <v>16</v>
      </c>
      <c r="J4" s="14" t="s">
        <v>17</v>
      </c>
      <c r="K4" s="14" t="s">
        <v>18</v>
      </c>
      <c r="L4" s="14" t="s">
        <v>19</v>
      </c>
      <c r="M4" s="14" t="s">
        <v>20</v>
      </c>
      <c r="N4" s="14" t="s">
        <v>21</v>
      </c>
      <c r="O4" s="14" t="s">
        <v>22</v>
      </c>
      <c r="P4" s="14" t="s">
        <v>23</v>
      </c>
    </row>
    <row r="5" spans="1:16" x14ac:dyDescent="0.25">
      <c r="A5" s="8" t="s">
        <v>0</v>
      </c>
      <c r="B5" s="8" t="s">
        <v>24</v>
      </c>
      <c r="C5" s="8" t="s">
        <v>25</v>
      </c>
      <c r="D5" s="15" t="s">
        <v>26</v>
      </c>
      <c r="E5" s="9">
        <v>443.1115</v>
      </c>
      <c r="F5" s="16">
        <v>1.074651</v>
      </c>
      <c r="G5" s="9">
        <v>476.19</v>
      </c>
      <c r="H5" s="17">
        <v>425</v>
      </c>
      <c r="I5" s="9">
        <f>F5*H5</f>
        <v>456.726675</v>
      </c>
      <c r="J5" s="9">
        <f>I5-G5</f>
        <v>-19.463324999999998</v>
      </c>
      <c r="K5" s="18">
        <f>IFERROR(J5/G5,0)</f>
        <v>-0.04087302337302337</v>
      </c>
      <c r="L5" s="10">
        <v>5</v>
      </c>
      <c r="M5" s="10">
        <f>MAX(0,21-L5)</f>
        <v>16</v>
      </c>
      <c r="N5" s="19">
        <v>2.927623067210654</v>
      </c>
      <c r="O5" s="8" t="s">
        <v>27</v>
      </c>
    </row>
    <row r="6" spans="1:16" x14ac:dyDescent="0.25">
      <c r="A6" s="8" t="s">
        <v>1</v>
      </c>
      <c r="B6" s="8" t="s">
        <v>28</v>
      </c>
      <c r="C6" s="8" t="s">
        <v>25</v>
      </c>
      <c r="D6" s="15" t="s">
        <v>29</v>
      </c>
      <c r="E6" s="9">
        <v>926.2029</v>
      </c>
      <c r="F6" s="16">
        <v>0.5145960000000001</v>
      </c>
      <c r="G6" s="9">
        <v>476.62</v>
      </c>
      <c r="H6" s="17">
        <v>933.4400000000001</v>
      </c>
      <c r="I6" s="9">
        <f>F6*H6</f>
        <v>480.3444902400001</v>
      </c>
      <c r="J6" s="9">
        <f>I6-G6</f>
        <v>3.7244902400000797</v>
      </c>
      <c r="K6" s="18">
        <f>IFERROR(J6/G6,0)</f>
        <v>0.007814380932399143</v>
      </c>
      <c r="L6" s="10">
        <v>4</v>
      </c>
      <c r="M6" s="10">
        <f>MAX(0,21-L6)</f>
        <v>17</v>
      </c>
      <c r="N6" s="19">
        <v>1.809956883354321</v>
      </c>
      <c r="O6" s="8" t="s">
        <v>27</v>
      </c>
    </row>
    <row r="7" spans="1:16" x14ac:dyDescent="0.25">
      <c r="A7" s="8" t="s">
        <v>2</v>
      </c>
      <c r="B7" s="8" t="s">
        <v>30</v>
      </c>
      <c r="C7" s="8" t="s">
        <v>25</v>
      </c>
      <c r="D7" s="15" t="s">
        <v>31</v>
      </c>
      <c r="E7" s="9">
        <v>1550.1948</v>
      </c>
      <c r="F7" s="16">
        <v>0.308058</v>
      </c>
      <c r="G7" s="9">
        <v>477.55</v>
      </c>
      <c r="H7" s="17">
        <v>1536.87</v>
      </c>
      <c r="I7" s="9">
        <f>F7*H7</f>
        <v>473.44509845999994</v>
      </c>
      <c r="J7" s="9">
        <f>I7-G7</f>
        <v>-4.104901540000071</v>
      </c>
      <c r="K7" s="18">
        <f>IFERROR(J7/G7,0)</f>
        <v>-0.008595752361009467</v>
      </c>
      <c r="L7" s="10">
        <v>3</v>
      </c>
      <c r="M7" s="10">
        <f>MAX(0,21-L7)</f>
        <v>18</v>
      </c>
      <c r="N7" s="19">
        <v>1.655247920227722</v>
      </c>
      <c r="O7" s="8" t="s">
        <v>27</v>
      </c>
    </row>
    <row r="8" spans="1:16" x14ac:dyDescent="0.25">
      <c r="A8" s="8" t="s">
        <v>3</v>
      </c>
      <c r="B8" s="8" t="s">
        <v>32</v>
      </c>
      <c r="C8" s="8" t="s">
        <v>25</v>
      </c>
      <c r="D8" s="15" t="s">
        <v>33</v>
      </c>
      <c r="E8" s="9">
        <v>462.5311</v>
      </c>
      <c r="F8" s="16">
        <v>1.031174</v>
      </c>
      <c r="G8" s="9">
        <v>476.95</v>
      </c>
      <c r="H8" s="17">
        <v>450.44</v>
      </c>
      <c r="I8" s="9">
        <f>F8*H8</f>
        <v>464.48201656000003</v>
      </c>
      <c r="J8" s="9">
        <f>I8-G8</f>
        <v>-12.467983439999955</v>
      </c>
      <c r="K8" s="18">
        <f>IFERROR(J8/G8,0)</f>
        <v>-0.026141070217003785</v>
      </c>
      <c r="L8" s="10">
        <v>2</v>
      </c>
      <c r="M8" s="10">
        <f>MAX(0,21-L8)</f>
        <v>19</v>
      </c>
      <c r="N8" s="19">
        <v>1.135451734784544</v>
      </c>
      <c r="O8" s="8" t="s">
        <v>27</v>
      </c>
    </row>
    <row r="9" spans="1:16" x14ac:dyDescent="0.25">
      <c r="A9" s="8" t="s">
        <v>4</v>
      </c>
      <c r="B9" s="8" t="s">
        <v>34</v>
      </c>
      <c r="C9" s="8" t="s">
        <v>35</v>
      </c>
      <c r="D9" s="15" t="s">
        <v>36</v>
      </c>
      <c r="E9" s="9">
        <v>360.14</v>
      </c>
      <c r="F9" s="16">
        <v>1.321486</v>
      </c>
      <c r="G9" s="9">
        <v>475.92</v>
      </c>
      <c r="H9" s="17">
        <v>361.99</v>
      </c>
      <c r="I9" s="9">
        <f>F9*H9</f>
        <v>478.36471714</v>
      </c>
      <c r="J9" s="9">
        <f>I9-G9</f>
        <v>2.444717139999966</v>
      </c>
      <c r="K9" s="18">
        <f>IFERROR(J9/G9,0)</f>
        <v>0.005136823709867133</v>
      </c>
      <c r="L9" s="10">
        <v>1</v>
      </c>
      <c r="M9" s="10">
        <f>MAX(0,21-L9)</f>
        <v>20</v>
      </c>
      <c r="N9" s="19">
        <v>1.098454348098604</v>
      </c>
      <c r="O9" s="8" t="s">
        <v>27</v>
      </c>
    </row>
    <row r="10" spans="1:16" x14ac:dyDescent="0.25">
      <c r="A10" s="8" t="s">
        <v>5</v>
      </c>
      <c r="B10" s="8" t="s">
        <v>37</v>
      </c>
      <c r="C10" s="8" t="s">
        <v>35</v>
      </c>
      <c r="D10" s="15" t="s">
        <v>38</v>
      </c>
      <c r="E10" s="9">
        <v>380.9704</v>
      </c>
      <c r="F10" s="16">
        <v>1.252643</v>
      </c>
      <c r="G10" s="9">
        <v>477.22</v>
      </c>
      <c r="H10" s="17">
        <v>383</v>
      </c>
      <c r="I10" s="9">
        <f>F10*H10</f>
        <v>479.762269</v>
      </c>
      <c r="J10" s="9">
        <f>I10-G10</f>
        <v>2.542268999999976</v>
      </c>
      <c r="K10" s="18">
        <f>IFERROR(J10/G10,0)</f>
        <v>0.005327247391140304</v>
      </c>
      <c r="L10" s="10">
        <v>0</v>
      </c>
      <c r="M10" s="10">
        <f>MAX(0,21-L10)</f>
        <v>21</v>
      </c>
      <c r="N10" s="19">
        <v>0.9280120270881818</v>
      </c>
      <c r="O10" s="8" t="s">
        <v>27</v>
      </c>
    </row>
    <row r="11" spans="1:16" x14ac:dyDescent="0.25">
      <c r="F11" s="12" t="s">
        <v>39</v>
      </c>
      <c r="G11" s="9">
        <f>SUM(G5:G10)</f>
        <v>2860.45</v>
      </c>
      <c r="I11" s="9">
        <f>SUM(I5:I10)</f>
        <v>2833.12</v>
      </c>
      <c r="J11" s="9">
        <f>SUM(J5:J10)</f>
        <v>-27.33000000000004</v>
      </c>
      <c r="K11" s="18">
        <f>IFERROR(J11/G11,0)</f>
        <v>0</v>
      </c>
    </row>
  </sheetData>
  <autoFilter ref="A4:P10"/>
  <conditionalFormatting sqref="K5:K10">
    <cfRule type="colorScale" priority="1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conditionalFormatting sqref="M5:M10">
    <cfRule type="dataBar" priority="2">
      <dataBar>
        <cfvo type="min"/>
        <cfvo type="max"/>
        <color rgb="FF9FB3C8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autoMin"/>
              <x14:cfvo type="autoMax"/>
              <x14:borderColor rgb="FF9FB3C8"/>
              <x14:negativeFillColor rgb="FFFF0000"/>
              <x14:negativeBorderColor rgb="FFFF0000"/>
              <x14:axisColor rgb="FF000000"/>
            </x14:dataBar>
          </x14:cfRule>
          <xm:sqref>M5:M10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'_данные'!B6:BI6</xm:f>
              <xm:sqref>P10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'_данные'!B5:BI5</xm:f>
              <xm:sqref>P9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'_данные'!B4:BI4</xm:f>
              <xm:sqref>P8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'_данные'!B3:BI3</xm:f>
              <xm:sqref>P7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'_данные'!B2:BI2</xm:f>
              <xm:sqref>P6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'_данные'!B1:BI1</xm:f>
              <xm:sqref>P5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>
  <dimension ref="A1:O5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9.7109375" customWidth="1"/>
    <col min="3" max="3" width="22.7109375" customWidth="1"/>
    <col min="4" max="4" width="12.7109375" customWidth="1"/>
    <col min="5" max="5" width="11.7109375" customWidth="1"/>
    <col min="6" max="6" width="12.7109375" customWidth="1"/>
    <col min="7" max="7" width="11.7109375" customWidth="1"/>
    <col min="8" max="8" width="10.7109375" customWidth="1"/>
    <col min="9" max="11" width="11.7109375" customWidth="1"/>
    <col min="12" max="12" width="9.7109375" customWidth="1"/>
    <col min="13" max="13" width="8.7109375" customWidth="1"/>
    <col min="14" max="14" width="11.7109375" customWidth="1"/>
    <col min="15" max="15" width="26.7109375" customWidth="1"/>
  </cols>
  <sheetData>
    <row r="1" spans="1:15">
      <c r="A1" s="1" t="s">
        <v>40</v>
      </c>
    </row>
    <row r="2" spans="1:15">
      <c r="A2" s="2" t="s">
        <v>41</v>
      </c>
    </row>
    <row r="4" spans="1:15" ht="30" customHeight="1">
      <c r="A4" s="14" t="s">
        <v>42</v>
      </c>
      <c r="B4" s="14" t="s">
        <v>8</v>
      </c>
      <c r="C4" s="14" t="s">
        <v>10</v>
      </c>
      <c r="D4" s="14" t="s">
        <v>43</v>
      </c>
      <c r="E4" s="14" t="s">
        <v>12</v>
      </c>
      <c r="F4" s="14" t="s">
        <v>44</v>
      </c>
      <c r="G4" s="14" t="s">
        <v>45</v>
      </c>
      <c r="H4" s="14" t="s">
        <v>13</v>
      </c>
      <c r="I4" s="14" t="s">
        <v>14</v>
      </c>
      <c r="J4" s="14" t="s">
        <v>46</v>
      </c>
      <c r="K4" s="14" t="s">
        <v>17</v>
      </c>
      <c r="L4" s="14" t="s">
        <v>18</v>
      </c>
      <c r="M4" s="14" t="s">
        <v>47</v>
      </c>
      <c r="N4" s="14" t="s">
        <v>21</v>
      </c>
      <c r="O4" s="14" t="s">
        <v>48</v>
      </c>
    </row>
    <row r="5" spans="1:15">
      <c r="A5" s="13" t="s">
        <v>49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11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2.7109375" customWidth="1"/>
    <col min="2" max="3" width="18.7109375" customWidth="1"/>
    <col min="4" max="4" width="14.7109375" customWidth="1"/>
    <col min="5" max="5" width="10.7109375" customWidth="1"/>
    <col min="6" max="6" width="14.7109375" customWidth="1"/>
  </cols>
  <sheetData>
    <row r="1" spans="1:6">
      <c r="A1" s="1" t="s">
        <v>50</v>
      </c>
    </row>
    <row r="2" spans="1:6">
      <c r="A2" s="2" t="s">
        <v>51</v>
      </c>
    </row>
    <row r="4" spans="1:6" ht="30" customHeight="1">
      <c r="A4" s="14" t="s">
        <v>52</v>
      </c>
      <c r="B4" s="14" t="s">
        <v>53</v>
      </c>
      <c r="C4" s="14" t="s">
        <v>54</v>
      </c>
      <c r="D4" s="14" t="s">
        <v>55</v>
      </c>
      <c r="E4" s="14" t="s">
        <v>56</v>
      </c>
      <c r="F4" s="14" t="s">
        <v>57</v>
      </c>
    </row>
    <row r="5" spans="1:6">
      <c r="A5" s="15" t="s">
        <v>58</v>
      </c>
      <c r="B5" s="9">
        <v>10000</v>
      </c>
      <c r="C5" s="9">
        <v>0</v>
      </c>
      <c r="D5" s="9">
        <f>B5+C5</f>
        <v>10000.0</v>
      </c>
      <c r="E5" s="10">
        <v>0</v>
      </c>
      <c r="F5" s="9">
        <v>10000</v>
      </c>
    </row>
    <row r="6" spans="1:6">
      <c r="A6" s="15" t="s">
        <v>26</v>
      </c>
      <c r="B6" s="9">
        <v>9523.809999999999</v>
      </c>
      <c r="C6" s="9">
        <v>485.2</v>
      </c>
      <c r="D6" s="9">
        <f>B6+C6</f>
        <v>10009.01</v>
      </c>
      <c r="E6" s="10">
        <v>1</v>
      </c>
      <c r="F6" s="9">
        <v>10031.96</v>
      </c>
    </row>
    <row r="7" spans="1:6">
      <c r="A7" s="15" t="s">
        <v>29</v>
      </c>
      <c r="B7" s="9">
        <v>9047.190000000001</v>
      </c>
      <c r="C7" s="9">
        <v>981.34</v>
      </c>
      <c r="D7" s="9">
        <f>B7+C7</f>
        <v>10028.53</v>
      </c>
      <c r="E7" s="10">
        <v>2</v>
      </c>
      <c r="F7" s="9">
        <v>10034.19</v>
      </c>
    </row>
    <row r="8" spans="1:6">
      <c r="A8" s="15" t="s">
        <v>31</v>
      </c>
      <c r="B8" s="9">
        <v>8569.639999999999</v>
      </c>
      <c r="C8" s="9">
        <v>1446.31</v>
      </c>
      <c r="D8" s="9">
        <f>B8+C8</f>
        <v>10015.949999999999</v>
      </c>
      <c r="E8" s="10">
        <v>3</v>
      </c>
      <c r="F8" s="9">
        <v>10099.94</v>
      </c>
    </row>
    <row r="9" spans="1:6">
      <c r="A9" s="15" t="s">
        <v>33</v>
      </c>
      <c r="B9" s="9">
        <v>8092.69</v>
      </c>
      <c r="C9" s="9">
        <v>1901.58</v>
      </c>
      <c r="D9" s="9">
        <f>B9+C9</f>
        <v>9994.27</v>
      </c>
      <c r="E9" s="10">
        <v>4</v>
      </c>
      <c r="F9" s="9">
        <v>10077.02</v>
      </c>
    </row>
    <row r="10" spans="1:6">
      <c r="A10" s="15" t="s">
        <v>36</v>
      </c>
      <c r="B10" s="9">
        <v>7616.77</v>
      </c>
      <c r="C10" s="9">
        <v>2404.95</v>
      </c>
      <c r="D10" s="9">
        <f>B10+C10</f>
        <v>10021.720000000001</v>
      </c>
      <c r="E10" s="10">
        <v>5</v>
      </c>
      <c r="F10" s="9">
        <v>10046.89</v>
      </c>
    </row>
    <row r="11" spans="1:6">
      <c r="A11" s="15" t="s">
        <v>38</v>
      </c>
      <c r="B11" s="9">
        <v>7139.55</v>
      </c>
      <c r="C11" s="9">
        <v>2833.12</v>
      </c>
      <c r="D11" s="9">
        <f>B11+C11</f>
        <v>9972.67</v>
      </c>
      <c r="E11" s="10">
        <v>6</v>
      </c>
      <c r="F11" s="9">
        <v>9977.860000000001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4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5.7109375" customWidth="1"/>
    <col min="2" max="2" width="9.7109375" customWidth="1"/>
    <col min="3" max="3" width="24.7109375" customWidth="1"/>
    <col min="4" max="4" width="22.7109375" customWidth="1"/>
    <col min="5" max="5" width="10.7109375" customWidth="1"/>
    <col min="6" max="6" width="11.7109375" customWidth="1"/>
    <col min="7" max="13" width="12.7109375" customWidth="1"/>
    <col min="14" max="16" width="9.7109375" customWidth="1"/>
    <col min="17" max="17" width="13.7109375" customWidth="1"/>
    <col min="18" max="18" width="12.7109375" customWidth="1"/>
    <col min="19" max="19" width="8.7109375" customWidth="1"/>
    <col min="20" max="20" width="24.7109375" customWidth="1"/>
  </cols>
  <sheetData>
    <row r="1" spans="1:20" x14ac:dyDescent="0.25">
      <c r="A1" s="1" t="s">
        <v>59</v>
      </c>
    </row>
    <row r="2" spans="1:20" x14ac:dyDescent="0.25">
      <c r="A2" s="2" t="s">
        <v>60</v>
      </c>
    </row>
    <row r="4" spans="1:20" ht="30" customHeight="1" x14ac:dyDescent="0.25">
      <c r="A4" s="14" t="s">
        <v>42</v>
      </c>
      <c r="B4" s="14" t="s">
        <v>8</v>
      </c>
      <c r="C4" s="14" t="s">
        <v>9</v>
      </c>
      <c r="D4" s="14" t="s">
        <v>10</v>
      </c>
      <c r="E4" s="14" t="s">
        <v>61</v>
      </c>
      <c r="F4" s="14" t="s">
        <v>62</v>
      </c>
      <c r="G4" s="14" t="s">
        <v>63</v>
      </c>
      <c r="H4" s="14" t="s">
        <v>64</v>
      </c>
      <c r="I4" s="14" t="s">
        <v>65</v>
      </c>
      <c r="J4" s="14" t="s">
        <v>66</v>
      </c>
      <c r="K4" s="14" t="s">
        <v>67</v>
      </c>
      <c r="L4" s="14" t="s">
        <v>68</v>
      </c>
      <c r="M4" s="14" t="s">
        <v>69</v>
      </c>
      <c r="N4" s="14" t="s">
        <v>70</v>
      </c>
      <c r="O4" s="14" t="s">
        <v>71</v>
      </c>
      <c r="P4" s="14" t="s">
        <v>72</v>
      </c>
      <c r="Q4" s="14" t="s">
        <v>73</v>
      </c>
      <c r="R4" s="14" t="s">
        <v>74</v>
      </c>
      <c r="S4" s="14" t="s">
        <v>75</v>
      </c>
      <c r="T4" s="14" t="s">
        <v>76</v>
      </c>
    </row>
    <row r="5" spans="1:20" x14ac:dyDescent="0.25">
      <c r="A5" s="10">
        <v>1</v>
      </c>
      <c r="B5" s="8" t="s">
        <v>2</v>
      </c>
      <c r="C5" s="8" t="s">
        <v>30</v>
      </c>
      <c r="D5" s="8" t="s">
        <v>25</v>
      </c>
      <c r="E5" s="9">
        <v>1536.869995117188</v>
      </c>
      <c r="F5" s="16">
        <v>1.053967443133661</v>
      </c>
      <c r="G5" s="19">
        <v>-0.3065942401812342</v>
      </c>
      <c r="H5" s="19">
        <v>2.061675894555025</v>
      </c>
      <c r="I5" s="19">
        <v>4.13232288715716</v>
      </c>
      <c r="J5" s="19">
        <v>1.347883549762725</v>
      </c>
      <c r="K5" s="19">
        <v>0</v>
      </c>
      <c r="L5" s="19">
        <v>-3.540879496451628</v>
      </c>
      <c r="M5" s="19">
        <v>0.5958198275500537</v>
      </c>
      <c r="N5" s="19">
        <v>20.12168</v>
      </c>
      <c r="O5" s="19">
        <v>14.060845</v>
      </c>
      <c r="P5" s="11">
        <v>0.9164</v>
      </c>
      <c r="Q5" s="11">
        <v>3.716</v>
      </c>
      <c r="R5" s="11">
        <v>1.718151550404877</v>
      </c>
      <c r="S5" s="10">
        <v>51.66385839684092</v>
      </c>
      <c r="T5" s="8" t="s">
        <v>77</v>
      </c>
    </row>
    <row r="6" spans="1:20" x14ac:dyDescent="0.25">
      <c r="A6" s="10">
        <v>2</v>
      </c>
      <c r="B6" s="8" t="s">
        <v>4</v>
      </c>
      <c r="C6" s="8" t="s">
        <v>34</v>
      </c>
      <c r="D6" s="8" t="s">
        <v>35</v>
      </c>
      <c r="E6" s="9">
        <v>361.989990234375</v>
      </c>
      <c r="F6" s="16">
        <v>1.027487197086339</v>
      </c>
      <c r="G6" s="19">
        <v>0.7600315297409044</v>
      </c>
      <c r="H6" s="19">
        <v>-0.6800206488478429</v>
      </c>
      <c r="I6" s="19">
        <v>2.817024529253408</v>
      </c>
      <c r="J6" s="19">
        <v>2.128208308457585</v>
      </c>
      <c r="K6" s="19">
        <v>0</v>
      </c>
      <c r="L6" s="19">
        <v>0.1476410274084718</v>
      </c>
      <c r="M6" s="19">
        <v>-0.6604630651106772</v>
      </c>
      <c r="N6" s="19">
        <v>14.45283</v>
      </c>
      <c r="O6" s="19">
        <v>4.0580444</v>
      </c>
      <c r="P6" s="11">
        <v>0.27637</v>
      </c>
      <c r="Q6" s="11">
        <v>0.517</v>
      </c>
      <c r="R6" s="11">
        <v>0.6989225766066014</v>
      </c>
      <c r="S6" s="10">
        <v>71.73485687212836</v>
      </c>
      <c r="T6" s="8" t="s">
        <v>77</v>
      </c>
    </row>
    <row r="7" spans="1:20" x14ac:dyDescent="0.25">
      <c r="A7" s="10">
        <v>3</v>
      </c>
      <c r="B7" s="8" t="s">
        <v>1</v>
      </c>
      <c r="C7" s="8" t="s">
        <v>28</v>
      </c>
      <c r="D7" s="8" t="s">
        <v>25</v>
      </c>
      <c r="E7" s="9">
        <v>933.4400024414062</v>
      </c>
      <c r="F7" s="16">
        <v>1.025386247939589</v>
      </c>
      <c r="G7" s="19">
        <v>-0.4169145554552529</v>
      </c>
      <c r="H7" s="19">
        <v>1.817222982186202</v>
      </c>
      <c r="I7" s="19">
        <v>4.262123054334927</v>
      </c>
      <c r="J7" s="19">
        <v>1.504824209288006</v>
      </c>
      <c r="K7" s="19">
        <v>0</v>
      </c>
      <c r="L7" s="19">
        <v>-3.540879496451628</v>
      </c>
      <c r="M7" s="19">
        <v>0.2677755323274389</v>
      </c>
      <c r="N7" s="19">
        <v>21.095882</v>
      </c>
      <c r="O7" s="19">
        <v>10.456314</v>
      </c>
      <c r="P7" s="11">
        <v>0.66638</v>
      </c>
      <c r="Q7" s="11">
        <v>3.457</v>
      </c>
      <c r="R7" s="11">
        <v>1.459902541511058</v>
      </c>
      <c r="S7" s="10">
        <v>50.44808337545521</v>
      </c>
      <c r="T7" s="8" t="s">
        <v>77</v>
      </c>
    </row>
    <row r="8" spans="1:20" x14ac:dyDescent="0.25">
      <c r="A8" s="10">
        <v>4</v>
      </c>
      <c r="B8" s="8" t="s">
        <v>5</v>
      </c>
      <c r="C8" s="8" t="s">
        <v>37</v>
      </c>
      <c r="D8" s="8" t="s">
        <v>35</v>
      </c>
      <c r="E8" s="9">
        <v>383</v>
      </c>
      <c r="F8" s="16">
        <v>1.013107049998486</v>
      </c>
      <c r="G8" s="19">
        <v>0.749794509494801</v>
      </c>
      <c r="H8" s="19">
        <v>-0.5732880119700506</v>
      </c>
      <c r="I8" s="19">
        <v>2.384116899919412</v>
      </c>
      <c r="J8" s="19">
        <v>2.151988948534578</v>
      </c>
      <c r="K8" s="19">
        <v>0</v>
      </c>
      <c r="L8" s="19">
        <v>0.1415381917108942</v>
      </c>
      <c r="M8" s="19">
        <v>-0.5525423981269584</v>
      </c>
      <c r="N8" s="19">
        <v>12.788835</v>
      </c>
      <c r="O8" s="19">
        <v>5.4714427</v>
      </c>
      <c r="P8" s="11">
        <v>0.42099</v>
      </c>
      <c r="Q8" s="11">
        <v>0.537</v>
      </c>
      <c r="R8" s="11">
        <v>0.8373577839171988</v>
      </c>
      <c r="S8" s="10">
        <v>76.16969901563091</v>
      </c>
      <c r="T8" s="8" t="s">
        <v>77</v>
      </c>
    </row>
    <row r="9" spans="1:20" x14ac:dyDescent="0.25">
      <c r="A9" s="10">
        <v>5</v>
      </c>
      <c r="B9" s="8" t="s">
        <v>78</v>
      </c>
      <c r="C9" s="8" t="s">
        <v>79</v>
      </c>
      <c r="D9" s="8" t="s">
        <v>35</v>
      </c>
      <c r="E9" s="9">
        <v>252.0200042724609</v>
      </c>
      <c r="F9" s="16">
        <v>0.8576426825884108</v>
      </c>
      <c r="G9" s="19">
        <v>0.5236285305189845</v>
      </c>
      <c r="H9" s="19">
        <v>-0.7870784679473629</v>
      </c>
      <c r="I9" s="19">
        <v>2.35386274831343</v>
      </c>
      <c r="J9" s="19">
        <v>1.933570903080461</v>
      </c>
      <c r="K9" s="19">
        <v>0</v>
      </c>
      <c r="L9" s="19">
        <v>0.3716359661134623</v>
      </c>
      <c r="M9" s="19">
        <v>-0.641884045829084</v>
      </c>
      <c r="N9" s="19">
        <v>13.92751</v>
      </c>
      <c r="O9" s="19">
        <v>3.090377</v>
      </c>
      <c r="P9" s="11">
        <v>0.23452999</v>
      </c>
      <c r="Q9" s="11">
        <v>0.531</v>
      </c>
      <c r="R9" s="11">
        <v>0.5931889760361613</v>
      </c>
      <c r="S9" s="10">
        <v>74.79975638542247</v>
      </c>
      <c r="T9" s="8" t="s">
        <v>77</v>
      </c>
    </row>
    <row r="10" spans="1:20" x14ac:dyDescent="0.25">
      <c r="A10" s="10">
        <v>6</v>
      </c>
      <c r="B10" s="8" t="s">
        <v>80</v>
      </c>
      <c r="C10" s="8" t="s">
        <v>81</v>
      </c>
      <c r="D10" s="8" t="s">
        <v>35</v>
      </c>
      <c r="E10" s="9">
        <v>60.95000076293945</v>
      </c>
      <c r="F10" s="16">
        <v>0.7416152164942327</v>
      </c>
      <c r="G10" s="19">
        <v>0.6434300221411974</v>
      </c>
      <c r="H10" s="19">
        <v>0.6167294611755126</v>
      </c>
      <c r="I10" s="19">
        <v>3.205794473836218</v>
      </c>
      <c r="J10" s="19">
        <v>0.4497747115500537</v>
      </c>
      <c r="K10" s="19">
        <v>0</v>
      </c>
      <c r="L10" s="19">
        <v>0.2446154284544499</v>
      </c>
      <c r="M10" s="19">
        <v>-0.4007689226809722</v>
      </c>
      <c r="N10" s="19">
        <v>17.433628</v>
      </c>
      <c r="O10" s="19">
        <v>1.765813</v>
      </c>
      <c r="P10" s="11">
        <v>0.10629</v>
      </c>
      <c r="Q10" s="11">
        <v>0.534</v>
      </c>
      <c r="R10" s="11">
        <v>0.1348875740367874</v>
      </c>
      <c r="S10" s="10">
        <v>61.79694080641646</v>
      </c>
      <c r="T10" s="8" t="s">
        <v>77</v>
      </c>
    </row>
    <row r="11" spans="1:20" x14ac:dyDescent="0.25">
      <c r="A11" s="10">
        <v>7</v>
      </c>
      <c r="B11" s="8" t="s">
        <v>82</v>
      </c>
      <c r="C11" s="8" t="s">
        <v>83</v>
      </c>
      <c r="D11" s="8" t="s">
        <v>35</v>
      </c>
      <c r="E11" s="9">
        <v>44.29999923706055</v>
      </c>
      <c r="F11" s="16">
        <v>0.7192881616348453</v>
      </c>
      <c r="G11" s="19">
        <v>1.180775573424393</v>
      </c>
      <c r="H11" s="19">
        <v>0.5628017336720434</v>
      </c>
      <c r="I11" s="19">
        <v>-0.2826661582517923</v>
      </c>
      <c r="J11" s="19">
        <v>1.420805177002578</v>
      </c>
      <c r="K11" s="19">
        <v>0</v>
      </c>
      <c r="L11" s="19">
        <v>-0.399077701318642</v>
      </c>
      <c r="M11" s="19">
        <v>-0.5455571695216184</v>
      </c>
      <c r="N11" s="19">
        <v>8.974684</v>
      </c>
      <c r="O11" s="19">
        <v>2.1246629</v>
      </c>
      <c r="P11" s="11">
        <v>0.26659</v>
      </c>
      <c r="Q11" s="11">
        <v>0.092</v>
      </c>
      <c r="R11" s="11">
        <v>0.4171789910797372</v>
      </c>
      <c r="S11" s="10">
        <v>67.24799565591081</v>
      </c>
      <c r="T11" s="8" t="s">
        <v>77</v>
      </c>
    </row>
    <row r="12" spans="1:20" x14ac:dyDescent="0.25">
      <c r="A12" s="10">
        <v>8</v>
      </c>
      <c r="B12" s="8" t="s">
        <v>84</v>
      </c>
      <c r="C12" s="8" t="s">
        <v>85</v>
      </c>
      <c r="D12" s="8" t="s">
        <v>86</v>
      </c>
      <c r="E12" s="9">
        <v>135.6000061035156</v>
      </c>
      <c r="F12" s="16">
        <v>0.6088418995787529</v>
      </c>
      <c r="G12" s="19">
        <v>0.675065848973343</v>
      </c>
      <c r="H12" s="19">
        <v>0.2975919364127702</v>
      </c>
      <c r="I12" s="19">
        <v>0.2786698223080728</v>
      </c>
      <c r="J12" s="19">
        <v>1.118134349214674</v>
      </c>
      <c r="K12" s="19">
        <v>0</v>
      </c>
      <c r="L12" s="19">
        <v>0.006054055767980149</v>
      </c>
      <c r="M12" s="19">
        <v>0.03729723308461752</v>
      </c>
      <c r="N12" s="19">
        <v>9.331602999999999</v>
      </c>
      <c r="O12" s="19">
        <v>3.3175094</v>
      </c>
      <c r="P12" s="11">
        <v>0.29867</v>
      </c>
      <c r="Q12" s="11">
        <v>0.176</v>
      </c>
      <c r="R12" s="11">
        <v>0.312129727571627</v>
      </c>
      <c r="S12" s="10">
        <v>68.50310275628433</v>
      </c>
      <c r="T12" s="8" t="s">
        <v>77</v>
      </c>
    </row>
    <row r="13" spans="1:20" x14ac:dyDescent="0.25">
      <c r="A13" s="10">
        <v>9</v>
      </c>
      <c r="B13" s="8" t="s">
        <v>0</v>
      </c>
      <c r="C13" s="8" t="s">
        <v>24</v>
      </c>
      <c r="D13" s="8" t="s">
        <v>25</v>
      </c>
      <c r="E13" s="9">
        <v>425</v>
      </c>
      <c r="F13" s="16">
        <v>0.5575835254090703</v>
      </c>
      <c r="G13" s="19">
        <v>-0.1453667345878826</v>
      </c>
      <c r="H13" s="19">
        <v>-0.9104682528073633</v>
      </c>
      <c r="I13" s="19">
        <v>2.981910484335923</v>
      </c>
      <c r="J13" s="19">
        <v>1.727504144967455</v>
      </c>
      <c r="K13" s="19">
        <v>0</v>
      </c>
      <c r="L13" s="19">
        <v>-2.047620412311253</v>
      </c>
      <c r="M13" s="19">
        <v>-0.3883829018771805</v>
      </c>
      <c r="N13" s="19">
        <v>36.353783</v>
      </c>
      <c r="O13" s="19">
        <v>-210.92924</v>
      </c>
      <c r="P13" s="11">
        <v>0</v>
      </c>
      <c r="Q13" s="11">
        <v>0.875</v>
      </c>
      <c r="R13" s="11">
        <v>1.941310647213375</v>
      </c>
      <c r="S13" s="10">
        <v>44.90408763111304</v>
      </c>
      <c r="T13" s="8" t="s">
        <v>77</v>
      </c>
    </row>
    <row r="14" spans="1:20" x14ac:dyDescent="0.25">
      <c r="A14" s="10">
        <v>10</v>
      </c>
      <c r="B14" s="8" t="s">
        <v>87</v>
      </c>
      <c r="C14" s="8" t="s">
        <v>88</v>
      </c>
      <c r="D14" s="8" t="s">
        <v>35</v>
      </c>
      <c r="E14" s="9">
        <v>211.0500030517578</v>
      </c>
      <c r="F14" s="16">
        <v>0.5520359298556146</v>
      </c>
      <c r="G14" s="19">
        <v>0.5556735680703294</v>
      </c>
      <c r="H14" s="19">
        <v>-0.3266206515441806</v>
      </c>
      <c r="I14" s="19">
        <v>2.258526107719387</v>
      </c>
      <c r="J14" s="19">
        <v>0.7303891701553145</v>
      </c>
      <c r="K14" s="19">
        <v>0</v>
      </c>
      <c r="L14" s="19">
        <v>0.7696587846111567</v>
      </c>
      <c r="M14" s="19">
        <v>-0.6639901078481503</v>
      </c>
      <c r="N14" s="19">
        <v>19.409616</v>
      </c>
      <c r="O14" s="19">
        <v>2.0853305</v>
      </c>
      <c r="P14" s="11">
        <v>0.12231</v>
      </c>
      <c r="Q14" s="11">
        <v>0.535</v>
      </c>
      <c r="R14" s="11">
        <v>0.1381140844875719</v>
      </c>
      <c r="S14" s="10">
        <v>71.60464867022429</v>
      </c>
      <c r="T14" s="8" t="s">
        <v>77</v>
      </c>
    </row>
    <row r="15" spans="1:20" x14ac:dyDescent="0.25">
      <c r="A15" s="10">
        <v>11</v>
      </c>
      <c r="B15" s="8" t="s">
        <v>89</v>
      </c>
      <c r="C15" s="8" t="s">
        <v>90</v>
      </c>
      <c r="D15" s="8" t="s">
        <v>35</v>
      </c>
      <c r="E15" s="9">
        <v>148.3500061035156</v>
      </c>
      <c r="F15" s="16">
        <v>0.540241053062401</v>
      </c>
      <c r="G15" s="19">
        <v>0.6252746191907743</v>
      </c>
      <c r="H15" s="19">
        <v>0.4666043918108415</v>
      </c>
      <c r="I15" s="19">
        <v>1.417737897842424</v>
      </c>
      <c r="J15" s="19">
        <v>0.512632579233376</v>
      </c>
      <c r="K15" s="19">
        <v>0</v>
      </c>
      <c r="L15" s="19">
        <v>0.2772294195705438</v>
      </c>
      <c r="M15" s="19">
        <v>-0.2998917022206128</v>
      </c>
      <c r="N15" s="19">
        <v>11.1643305</v>
      </c>
      <c r="O15" s="19">
        <v>2.3641071</v>
      </c>
      <c r="P15" s="11">
        <v>0.22507</v>
      </c>
      <c r="Q15" s="11">
        <v>0.587</v>
      </c>
      <c r="R15" s="11">
        <v>0.1707063379394265</v>
      </c>
      <c r="S15" s="10">
        <v>56.60881034200952</v>
      </c>
      <c r="T15" s="8" t="s">
        <v>77</v>
      </c>
    </row>
    <row r="16" spans="1:20" x14ac:dyDescent="0.25">
      <c r="A16" s="10">
        <v>12</v>
      </c>
      <c r="B16" s="8" t="s">
        <v>91</v>
      </c>
      <c r="C16" s="8" t="s">
        <v>92</v>
      </c>
      <c r="D16" s="8" t="s">
        <v>25</v>
      </c>
      <c r="E16" s="9">
        <v>217.4400024414062</v>
      </c>
      <c r="F16" s="16">
        <v>0.5227387549492293</v>
      </c>
      <c r="G16" s="19">
        <v>-1.186242168307697</v>
      </c>
      <c r="H16" s="19">
        <v>2.372350229473365</v>
      </c>
      <c r="I16" s="19">
        <v>2.41778901771408</v>
      </c>
      <c r="J16" s="19">
        <v>0.2212479063118502</v>
      </c>
      <c r="K16" s="19">
        <v>0</v>
      </c>
      <c r="L16" s="19">
        <v>-0.1509467465621591</v>
      </c>
      <c r="M16" s="19">
        <v>-0.06423513670330765</v>
      </c>
      <c r="N16" s="19">
        <v>27.468435</v>
      </c>
      <c r="O16" s="19">
        <v>26.95787</v>
      </c>
      <c r="P16" s="11">
        <v>1.17211</v>
      </c>
      <c r="Q16" s="11">
        <v>1.059</v>
      </c>
      <c r="R16" s="11">
        <v>0.2091375570176681</v>
      </c>
      <c r="S16" s="10">
        <v>51.87290992384197</v>
      </c>
      <c r="T16" s="8" t="s">
        <v>77</v>
      </c>
    </row>
    <row r="17" spans="1:20" x14ac:dyDescent="0.25">
      <c r="A17" s="10">
        <v>13</v>
      </c>
      <c r="B17" s="8" t="s">
        <v>93</v>
      </c>
      <c r="C17" s="8" t="s">
        <v>94</v>
      </c>
      <c r="D17" s="8" t="s">
        <v>95</v>
      </c>
      <c r="E17" s="9">
        <v>257.8699951171875</v>
      </c>
      <c r="F17" s="16">
        <v>0.5131665152254895</v>
      </c>
      <c r="G17" s="19">
        <v>1.2973242005594</v>
      </c>
      <c r="H17" s="19">
        <v>0.1669261144304357</v>
      </c>
      <c r="I17" s="19">
        <v>-0.05264739805840464</v>
      </c>
      <c r="J17" s="19">
        <v>0.6125480538697033</v>
      </c>
      <c r="K17" s="19">
        <v>0</v>
      </c>
      <c r="L17" s="19">
        <v>0.442136474288886</v>
      </c>
      <c r="M17" s="19">
        <v>-0.1708483227941824</v>
      </c>
      <c r="N17" s="19">
        <v>5.156936</v>
      </c>
      <c r="O17" s="19">
        <v>2.0881312</v>
      </c>
      <c r="P17" s="11">
        <v>0.46113998</v>
      </c>
      <c r="Q17" s="11">
        <v>0.118</v>
      </c>
      <c r="R17" s="11">
        <v>0.2184079601631363</v>
      </c>
      <c r="S17" s="10">
        <v>49.93960247392307</v>
      </c>
      <c r="T17" s="8" t="s">
        <v>77</v>
      </c>
    </row>
    <row r="18" spans="1:20" x14ac:dyDescent="0.25">
      <c r="A18" s="10">
        <v>14</v>
      </c>
      <c r="B18" s="8" t="s">
        <v>96</v>
      </c>
      <c r="C18" s="8" t="s">
        <v>97</v>
      </c>
      <c r="D18" s="8" t="s">
        <v>98</v>
      </c>
      <c r="E18" s="9">
        <v>438.1199951171875</v>
      </c>
      <c r="F18" s="16">
        <v>0.5091334812988626</v>
      </c>
      <c r="G18" s="19">
        <v>-0.2455671553299525</v>
      </c>
      <c r="H18" s="19">
        <v>1.23829401915366</v>
      </c>
      <c r="I18" s="19">
        <v>-0.09681434526753466</v>
      </c>
      <c r="J18" s="19">
        <v>1.068465270265442</v>
      </c>
      <c r="K18" s="19">
        <v>0</v>
      </c>
      <c r="L18" s="19">
        <v>0.6880295267081549</v>
      </c>
      <c r="M18" s="19">
        <v>-0.7253426214695433</v>
      </c>
      <c r="N18" s="19">
        <v>26.875078</v>
      </c>
      <c r="O18" s="19">
        <v>20.000925</v>
      </c>
      <c r="P18" s="11">
        <v>0.91473</v>
      </c>
      <c r="Q18" s="11">
        <v>0.095</v>
      </c>
      <c r="R18" s="11">
        <v>0.1511749006415839</v>
      </c>
      <c r="S18" s="10">
        <v>66.38286199743321</v>
      </c>
      <c r="T18" s="8" t="s">
        <v>77</v>
      </c>
    </row>
    <row r="19" spans="1:20" x14ac:dyDescent="0.25">
      <c r="A19" s="10">
        <v>15</v>
      </c>
      <c r="B19" s="8" t="s">
        <v>99</v>
      </c>
      <c r="C19" s="8" t="s">
        <v>100</v>
      </c>
      <c r="D19" s="8" t="s">
        <v>98</v>
      </c>
      <c r="E19" s="9">
        <v>66.91999816894531</v>
      </c>
      <c r="F19" s="16">
        <v>0.5079512330182455</v>
      </c>
      <c r="G19" s="19">
        <v>0.4854005059534541</v>
      </c>
      <c r="H19" s="19">
        <v>0.6587571460380149</v>
      </c>
      <c r="I19" s="19">
        <v>0.2084671882916938</v>
      </c>
      <c r="J19" s="19">
        <v>0.7731015664864646</v>
      </c>
      <c r="K19" s="19">
        <v>0</v>
      </c>
      <c r="L19" s="19">
        <v>0.5802224593255341</v>
      </c>
      <c r="M19" s="19">
        <v>-0.4170835714536103</v>
      </c>
      <c r="N19" s="19">
        <v>14.762749</v>
      </c>
      <c r="O19" s="19">
        <v>6.0942793</v>
      </c>
      <c r="P19" s="11">
        <v>0.46598998</v>
      </c>
      <c r="Q19" s="11">
        <v>0.057</v>
      </c>
      <c r="R19" s="11">
        <v>0.09677911856043009</v>
      </c>
      <c r="S19" s="10">
        <v>60.01687384912778</v>
      </c>
      <c r="T19" s="8" t="s">
        <v>77</v>
      </c>
    </row>
    <row r="20" spans="1:20" x14ac:dyDescent="0.25">
      <c r="A20" s="10">
        <v>16</v>
      </c>
      <c r="B20" s="8" t="s">
        <v>101</v>
      </c>
      <c r="C20" s="8" t="s">
        <v>102</v>
      </c>
      <c r="D20" s="8" t="s">
        <v>98</v>
      </c>
      <c r="E20" s="9">
        <v>125.0100021362305</v>
      </c>
      <c r="F20" s="16">
        <v>0.5009062060594807</v>
      </c>
      <c r="G20" s="19">
        <v>0.3535340411038917</v>
      </c>
      <c r="H20" s="19">
        <v>0.5066139843793523</v>
      </c>
      <c r="I20" s="19">
        <v>0.5284153400344015</v>
      </c>
      <c r="J20" s="19">
        <v>0.8680644952406645</v>
      </c>
      <c r="K20" s="19">
        <v>0</v>
      </c>
      <c r="L20" s="19">
        <v>0.05624113697794832</v>
      </c>
      <c r="M20" s="19">
        <v>-0.2566531795171282</v>
      </c>
      <c r="N20" s="19">
        <v>15.843312</v>
      </c>
      <c r="O20" s="19">
        <v>3.939749</v>
      </c>
      <c r="P20" s="11">
        <v>0.30667</v>
      </c>
      <c r="Q20" s="11">
        <v>0.377</v>
      </c>
      <c r="R20" s="11">
        <v>0.2496001698539319</v>
      </c>
      <c r="S20" s="10">
        <v>54.52617136164081</v>
      </c>
      <c r="T20" s="8" t="s">
        <v>77</v>
      </c>
    </row>
    <row r="21" spans="1:20" x14ac:dyDescent="0.25">
      <c r="A21" s="10">
        <v>17</v>
      </c>
      <c r="B21" s="8" t="s">
        <v>103</v>
      </c>
      <c r="C21" s="8" t="s">
        <v>104</v>
      </c>
      <c r="D21" s="8" t="s">
        <v>105</v>
      </c>
      <c r="E21" s="9">
        <v>304.2300109863281</v>
      </c>
      <c r="F21" s="16">
        <v>0.4995295468227405</v>
      </c>
      <c r="G21" s="19">
        <v>0.02392519228507077</v>
      </c>
      <c r="H21" s="19">
        <v>1.208973468219964</v>
      </c>
      <c r="I21" s="19">
        <v>0.5934216790533486</v>
      </c>
      <c r="J21" s="19">
        <v>0.8918103152716023</v>
      </c>
      <c r="K21" s="19">
        <v>0</v>
      </c>
      <c r="L21" s="19">
        <v>-0.4225670883207233</v>
      </c>
      <c r="M21" s="19">
        <v>-0.7460940688758423</v>
      </c>
      <c r="N21" s="19">
        <v>20.706474</v>
      </c>
      <c r="O21" s="19">
        <v>32.69876</v>
      </c>
      <c r="P21" s="11">
        <v>0.89489</v>
      </c>
      <c r="Q21" s="11">
        <v>0.14</v>
      </c>
      <c r="R21" s="11">
        <v>0.4348987086786897</v>
      </c>
      <c r="S21" s="10">
        <v>46.51005273293129</v>
      </c>
      <c r="T21" s="8" t="s">
        <v>77</v>
      </c>
    </row>
    <row r="22" spans="1:20" x14ac:dyDescent="0.25">
      <c r="A22" s="10">
        <v>18</v>
      </c>
      <c r="B22" s="8" t="s">
        <v>106</v>
      </c>
      <c r="C22" s="8" t="s">
        <v>107</v>
      </c>
      <c r="D22" s="8" t="s">
        <v>25</v>
      </c>
      <c r="E22" s="9">
        <v>258.1099853515625</v>
      </c>
      <c r="F22" s="16">
        <v>0.4760440696423573</v>
      </c>
      <c r="G22" s="19">
        <v>0.3430645610428927</v>
      </c>
      <c r="H22" s="19">
        <v>0.5388891445188714</v>
      </c>
      <c r="I22" s="19">
        <v>0.1866157944506243</v>
      </c>
      <c r="J22" s="19">
        <v>1.093659767973966</v>
      </c>
      <c r="K22" s="19">
        <v>0</v>
      </c>
      <c r="L22" s="19">
        <v>-1.453801527371712</v>
      </c>
      <c r="M22" s="19">
        <v>0.1426684872448112</v>
      </c>
      <c r="N22" s="19">
        <v>23.421774</v>
      </c>
      <c r="O22" s="19">
        <v>5.4897923</v>
      </c>
      <c r="P22" s="11">
        <v>0.19381</v>
      </c>
      <c r="Q22" s="11">
        <v>0.108</v>
      </c>
      <c r="R22" s="11">
        <v>0.3232508978324589</v>
      </c>
      <c r="S22" s="10">
        <v>81.25380620929735</v>
      </c>
      <c r="T22" s="8" t="s">
        <v>77</v>
      </c>
    </row>
    <row r="23" spans="1:20" x14ac:dyDescent="0.25">
      <c r="A23" s="10">
        <v>19</v>
      </c>
      <c r="B23" s="8" t="s">
        <v>108</v>
      </c>
      <c r="C23" s="8" t="s">
        <v>109</v>
      </c>
      <c r="D23" s="8" t="s">
        <v>95</v>
      </c>
      <c r="E23" s="9">
        <v>211.3399963378906</v>
      </c>
      <c r="F23" s="16">
        <v>0.4757683908515629</v>
      </c>
      <c r="G23" s="19">
        <v>0.5887979504774438</v>
      </c>
      <c r="H23" s="19">
        <v>-0.657139695697852</v>
      </c>
      <c r="I23" s="19">
        <v>4.13232288715716</v>
      </c>
      <c r="J23" s="19">
        <v>-0.03074398165902444</v>
      </c>
      <c r="K23" s="19">
        <v>0</v>
      </c>
      <c r="L23" s="19">
        <v>0.50624407711399</v>
      </c>
      <c r="M23" s="19">
        <v>-0.2068604333719531</v>
      </c>
      <c r="N23" s="19">
        <v>11.935252</v>
      </c>
      <c r="O23" s="19">
        <v>1.2848284</v>
      </c>
      <c r="P23" s="11">
        <v>0.09031</v>
      </c>
      <c r="Q23" s="11">
        <v>11.11</v>
      </c>
      <c r="R23" s="11">
        <v>0.09611312275134765</v>
      </c>
      <c r="S23" s="10">
        <v>45.11230677423562</v>
      </c>
      <c r="T23" s="8" t="s">
        <v>77</v>
      </c>
    </row>
    <row r="24" spans="1:20" x14ac:dyDescent="0.25">
      <c r="A24" s="10">
        <v>20</v>
      </c>
      <c r="B24" s="8" t="s">
        <v>110</v>
      </c>
      <c r="C24" s="8" t="s">
        <v>111</v>
      </c>
      <c r="D24" s="8" t="s">
        <v>25</v>
      </c>
      <c r="E24" s="9">
        <v>161.8500061035156</v>
      </c>
      <c r="F24" s="16">
        <v>0.471575487146039</v>
      </c>
      <c r="G24" s="19">
        <v>-2.122778428838808</v>
      </c>
      <c r="H24" s="19">
        <v>1.765640568246892</v>
      </c>
      <c r="I24" s="19">
        <v>0.2349332652824272</v>
      </c>
      <c r="J24" s="19">
        <v>1.564637910547843</v>
      </c>
      <c r="K24" s="19">
        <v>0</v>
      </c>
      <c r="L24" s="19">
        <v>-0.2547818898329872</v>
      </c>
      <c r="M24" s="19">
        <v>0.462328358217257</v>
      </c>
      <c r="N24" s="19">
        <v>61.02941</v>
      </c>
      <c r="O24" s="19">
        <v>78.524124</v>
      </c>
      <c r="P24" s="11">
        <v>1.17442</v>
      </c>
      <c r="Q24" s="11">
        <v>0.256</v>
      </c>
      <c r="R24" s="11">
        <v>1.044076856273211</v>
      </c>
      <c r="S24" s="10">
        <v>52.73692094066809</v>
      </c>
      <c r="T24" s="8" t="s">
        <v>77</v>
      </c>
    </row>
    <row r="25" spans="1:20" x14ac:dyDescent="0.25">
      <c r="A25" s="10">
        <v>21</v>
      </c>
      <c r="B25" s="8" t="s">
        <v>112</v>
      </c>
      <c r="C25" s="8" t="s">
        <v>113</v>
      </c>
      <c r="D25" s="8" t="s">
        <v>25</v>
      </c>
      <c r="E25" s="9">
        <v>30.02000045776367</v>
      </c>
      <c r="F25" s="16">
        <v>0.4680722065995366</v>
      </c>
      <c r="G25" s="19">
        <v>0.5167039359615127</v>
      </c>
      <c r="H25" s="19">
        <v>0.749645521027813</v>
      </c>
      <c r="I25" s="19">
        <v>-0.1861321221296584</v>
      </c>
      <c r="J25" s="19">
        <v>0.6780963960340513</v>
      </c>
      <c r="K25" s="19">
        <v>0</v>
      </c>
      <c r="L25" s="19">
        <v>0.2247602356716958</v>
      </c>
      <c r="M25" s="19">
        <v>0.008152865406482857</v>
      </c>
      <c r="N25" s="19">
        <v>17.827587</v>
      </c>
      <c r="O25" s="19">
        <v>6.9959407</v>
      </c>
      <c r="P25" s="11">
        <v>0.41944</v>
      </c>
      <c r="Q25" s="11">
        <v>0.063</v>
      </c>
      <c r="R25" s="11">
        <v>0.3563279010849416</v>
      </c>
      <c r="S25" s="10">
        <v>61.70036862510079</v>
      </c>
      <c r="T25" s="8" t="s">
        <v>77</v>
      </c>
    </row>
    <row r="26" spans="1:20" x14ac:dyDescent="0.25">
      <c r="A26" s="10">
        <v>22</v>
      </c>
      <c r="B26" s="8" t="s">
        <v>114</v>
      </c>
      <c r="C26" s="8" t="s">
        <v>115</v>
      </c>
      <c r="D26" s="8" t="s">
        <v>116</v>
      </c>
      <c r="E26" s="9">
        <v>163.75</v>
      </c>
      <c r="F26" s="16">
        <v>0.4672299014324282</v>
      </c>
      <c r="G26" s="19">
        <v>0.5037681831878469</v>
      </c>
      <c r="H26" s="19">
        <v>-0.5575001867977641</v>
      </c>
      <c r="I26" s="19">
        <v>-0.04455757815619896</v>
      </c>
      <c r="J26" s="19">
        <v>1.435967725119076</v>
      </c>
      <c r="K26" s="19">
        <v>0</v>
      </c>
      <c r="L26" s="19">
        <v>0.2539051903365677</v>
      </c>
      <c r="M26" s="19">
        <v>-0.3985600120741293</v>
      </c>
      <c r="N26" s="19">
        <v>16.927385</v>
      </c>
      <c r="O26" s="19">
        <v>4.154594</v>
      </c>
      <c r="P26" s="11">
        <v>0.26408002</v>
      </c>
      <c r="Q26" s="11">
        <v>0.053</v>
      </c>
      <c r="R26" s="11">
        <v>0.4718198758607315</v>
      </c>
      <c r="S26" s="10">
        <v>63.12038567431014</v>
      </c>
      <c r="T26" s="8" t="s">
        <v>77</v>
      </c>
    </row>
    <row r="27" spans="1:20" x14ac:dyDescent="0.25">
      <c r="A27" s="10">
        <v>23</v>
      </c>
      <c r="B27" s="8" t="s">
        <v>117</v>
      </c>
      <c r="C27" s="8" t="s">
        <v>118</v>
      </c>
      <c r="D27" s="8" t="s">
        <v>116</v>
      </c>
      <c r="E27" s="9">
        <v>69.56999969482422</v>
      </c>
      <c r="F27" s="16">
        <v>0.4667048749607028</v>
      </c>
      <c r="G27" s="19">
        <v>0.548854665636462</v>
      </c>
      <c r="H27" s="19">
        <v>1.843831358372849</v>
      </c>
      <c r="I27" s="19">
        <v>-0.6292233998564639</v>
      </c>
      <c r="J27" s="19">
        <v>0.02317164762853158</v>
      </c>
      <c r="K27" s="19">
        <v>0</v>
      </c>
      <c r="L27" s="19">
        <v>0.3921848972101009</v>
      </c>
      <c r="M27" s="19">
        <v>0.6166648084460049</v>
      </c>
      <c r="N27" s="19">
        <v>14.242739</v>
      </c>
      <c r="O27" s="19">
        <v>-42.95995</v>
      </c>
      <c r="P27" s="11">
        <v>0</v>
      </c>
      <c r="Q27" s="11">
        <v>0.012</v>
      </c>
      <c r="R27" s="11">
        <v>0.04518237521385204</v>
      </c>
      <c r="S27" s="10">
        <v>54.8966572673663</v>
      </c>
      <c r="T27" s="8" t="s">
        <v>77</v>
      </c>
    </row>
    <row r="28" spans="1:20" x14ac:dyDescent="0.25">
      <c r="A28" s="10">
        <v>24</v>
      </c>
      <c r="B28" s="8" t="s">
        <v>119</v>
      </c>
      <c r="C28" s="8" t="s">
        <v>120</v>
      </c>
      <c r="D28" s="8" t="s">
        <v>35</v>
      </c>
      <c r="E28" s="9">
        <v>136.1900024414062</v>
      </c>
      <c r="F28" s="16">
        <v>0.4622732395981689</v>
      </c>
      <c r="G28" s="19">
        <v>0.5373664552081702</v>
      </c>
      <c r="H28" s="19">
        <v>-0.1368691777673517</v>
      </c>
      <c r="I28" s="19">
        <v>0.7891918304603867</v>
      </c>
      <c r="J28" s="19">
        <v>0.9258571555327707</v>
      </c>
      <c r="K28" s="19">
        <v>0</v>
      </c>
      <c r="L28" s="19">
        <v>0.3973511834359071</v>
      </c>
      <c r="M28" s="19">
        <v>-0.6067980420041242</v>
      </c>
      <c r="N28" s="19">
        <v>17.128778</v>
      </c>
      <c r="O28" s="19">
        <v>2.396272</v>
      </c>
      <c r="P28" s="11">
        <v>0.1418</v>
      </c>
      <c r="Q28" s="11">
        <v>0.355</v>
      </c>
      <c r="R28" s="11">
        <v>0.1681093072105853</v>
      </c>
      <c r="S28" s="10">
        <v>69.60407992037833</v>
      </c>
      <c r="T28" s="8" t="s">
        <v>77</v>
      </c>
    </row>
    <row r="29" spans="1:20" x14ac:dyDescent="0.25">
      <c r="A29" s="10">
        <v>25</v>
      </c>
      <c r="B29" s="8" t="s">
        <v>3</v>
      </c>
      <c r="C29" s="8" t="s">
        <v>32</v>
      </c>
      <c r="D29" s="8" t="s">
        <v>25</v>
      </c>
      <c r="E29" s="9">
        <v>450.4400024414062</v>
      </c>
      <c r="F29" s="16">
        <v>0.4581215887060392</v>
      </c>
      <c r="G29" s="19">
        <v>-0.9131978128854404</v>
      </c>
      <c r="H29" s="19">
        <v>2.151528876753073</v>
      </c>
      <c r="I29" s="19">
        <v>2.950282622072772</v>
      </c>
      <c r="J29" s="19">
        <v>0.3366630736324592</v>
      </c>
      <c r="K29" s="19">
        <v>0</v>
      </c>
      <c r="L29" s="19">
        <v>-3.540879496451628</v>
      </c>
      <c r="M29" s="19">
        <v>0.4962946198785601</v>
      </c>
      <c r="N29" s="19">
        <v>17.067236</v>
      </c>
      <c r="O29" s="19">
        <v>21.967487</v>
      </c>
      <c r="P29" s="11">
        <v>1.30853</v>
      </c>
      <c r="Q29" s="11">
        <v>0.438</v>
      </c>
      <c r="R29" s="11">
        <v>0.6690356163398388</v>
      </c>
      <c r="S29" s="10">
        <v>43.83463781720145</v>
      </c>
      <c r="T29" s="8" t="s">
        <v>77</v>
      </c>
    </row>
    <row r="30" spans="1:20" x14ac:dyDescent="0.25">
      <c r="A30" s="10">
        <v>26</v>
      </c>
      <c r="B30" s="8" t="s">
        <v>121</v>
      </c>
      <c r="C30" s="8" t="s">
        <v>122</v>
      </c>
      <c r="D30" s="8" t="s">
        <v>95</v>
      </c>
      <c r="E30" s="9">
        <v>108.2799987792969</v>
      </c>
      <c r="F30" s="16">
        <v>0.4436142672502696</v>
      </c>
      <c r="G30" s="19">
        <v>0.08240686126983239</v>
      </c>
      <c r="H30" s="19">
        <v>1.223451927469628</v>
      </c>
      <c r="I30" s="19">
        <v>0.1038485795344242</v>
      </c>
      <c r="J30" s="19">
        <v>0.4908742695999092</v>
      </c>
      <c r="K30" s="19">
        <v>0</v>
      </c>
      <c r="L30" s="19">
        <v>0.9305031342973328</v>
      </c>
      <c r="M30" s="19">
        <v>-0.4210289391841021</v>
      </c>
      <c r="N30" s="19">
        <v>20.065575</v>
      </c>
      <c r="O30" s="19">
        <v>4.333084</v>
      </c>
      <c r="P30" s="11">
        <v>0.20273</v>
      </c>
      <c r="Q30" s="11">
        <v>0.209</v>
      </c>
      <c r="R30" s="11">
        <v>0.1413280553506242</v>
      </c>
      <c r="S30" s="10">
        <v>51.67770002511105</v>
      </c>
      <c r="T30" s="8" t="s">
        <v>77</v>
      </c>
    </row>
    <row r="31" spans="1:20" x14ac:dyDescent="0.25">
      <c r="A31" s="10">
        <v>27</v>
      </c>
      <c r="B31" s="8" t="s">
        <v>123</v>
      </c>
      <c r="C31" s="8" t="s">
        <v>124</v>
      </c>
      <c r="D31" s="8" t="s">
        <v>95</v>
      </c>
      <c r="E31" s="9">
        <v>363.9200134277344</v>
      </c>
      <c r="F31" s="16">
        <v>0.4262581153554666</v>
      </c>
      <c r="G31" s="19">
        <v>1.231904824551268</v>
      </c>
      <c r="H31" s="19">
        <v>-0.1202756231839317</v>
      </c>
      <c r="I31" s="19">
        <v>-0.3776219198070676</v>
      </c>
      <c r="J31" s="19">
        <v>0.6145948754783469</v>
      </c>
      <c r="K31" s="19">
        <v>0</v>
      </c>
      <c r="L31" s="19">
        <v>0.596224696895187</v>
      </c>
      <c r="M31" s="19">
        <v>-0.1222672459187132</v>
      </c>
      <c r="N31" s="19">
        <v>9.919549</v>
      </c>
      <c r="O31" s="19">
        <v>2.3296678</v>
      </c>
      <c r="P31" s="11">
        <v>0.26511</v>
      </c>
      <c r="Q31" s="11">
        <v>0.003</v>
      </c>
      <c r="R31" s="11">
        <v>0.1805841930692524</v>
      </c>
      <c r="S31" s="10">
        <v>47.06174798442245</v>
      </c>
      <c r="T31" s="8" t="s">
        <v>77</v>
      </c>
    </row>
    <row r="32" spans="1:20" x14ac:dyDescent="0.25">
      <c r="A32" s="10">
        <v>28</v>
      </c>
      <c r="B32" s="8" t="s">
        <v>125</v>
      </c>
      <c r="C32" s="8" t="s">
        <v>126</v>
      </c>
      <c r="D32" s="8" t="s">
        <v>35</v>
      </c>
      <c r="E32" s="9">
        <v>203.1600036621094</v>
      </c>
      <c r="F32" s="16">
        <v>0.4260134819385445</v>
      </c>
      <c r="G32" s="19">
        <v>0.6290781538187236</v>
      </c>
      <c r="H32" s="19">
        <v>-0.04474182683940042</v>
      </c>
      <c r="I32" s="19">
        <v>1.575737480795989</v>
      </c>
      <c r="J32" s="19">
        <v>0.4199180490295129</v>
      </c>
      <c r="K32" s="19">
        <v>0</v>
      </c>
      <c r="L32" s="19">
        <v>0.2033377509034909</v>
      </c>
      <c r="M32" s="19">
        <v>-0.3366617391226158</v>
      </c>
      <c r="N32" s="19">
        <v>37.579845</v>
      </c>
      <c r="O32" s="19">
        <v>1.4633226</v>
      </c>
      <c r="P32" s="11">
        <v>0.034930002</v>
      </c>
      <c r="Q32" s="11">
        <v>0.525</v>
      </c>
      <c r="R32" s="11">
        <v>0.1546164081122456</v>
      </c>
      <c r="S32" s="10">
        <v>54.3947760974016</v>
      </c>
      <c r="T32" s="8" t="s">
        <v>77</v>
      </c>
    </row>
    <row r="33" spans="1:20" x14ac:dyDescent="0.25">
      <c r="A33" s="10">
        <v>29</v>
      </c>
      <c r="B33" s="8" t="s">
        <v>127</v>
      </c>
      <c r="C33" s="8" t="s">
        <v>128</v>
      </c>
      <c r="D33" s="8" t="s">
        <v>98</v>
      </c>
      <c r="E33" s="9">
        <v>394.8800048828125</v>
      </c>
      <c r="F33" s="16">
        <v>0.4184221547240243</v>
      </c>
      <c r="G33" s="19">
        <v>0.3991025813752035</v>
      </c>
      <c r="H33" s="19">
        <v>-1.053340414218987</v>
      </c>
      <c r="I33" s="19">
        <v>0.1734891100083233</v>
      </c>
      <c r="J33" s="19">
        <v>1.42826630724615</v>
      </c>
      <c r="K33" s="19">
        <v>0</v>
      </c>
      <c r="L33" s="19">
        <v>0.2435062406524336</v>
      </c>
      <c r="M33" s="19">
        <v>0.0558540021352415</v>
      </c>
      <c r="N33" s="19">
        <v>37.178402</v>
      </c>
      <c r="O33" s="19">
        <v>2.4096098</v>
      </c>
      <c r="P33" s="11">
        <v>0.06893000000000001</v>
      </c>
      <c r="Q33" s="11">
        <v>0.262</v>
      </c>
      <c r="R33" s="11">
        <v>1.124209183441041</v>
      </c>
      <c r="S33" s="10">
        <v>57.13086874947128</v>
      </c>
      <c r="T33" s="8" t="s">
        <v>77</v>
      </c>
    </row>
    <row r="34" spans="1:20" x14ac:dyDescent="0.25">
      <c r="A34" s="10">
        <v>30</v>
      </c>
      <c r="B34" s="8" t="s">
        <v>129</v>
      </c>
      <c r="C34" s="8" t="s">
        <v>130</v>
      </c>
      <c r="D34" s="8" t="s">
        <v>95</v>
      </c>
      <c r="E34" s="9">
        <v>211.0399932861328</v>
      </c>
      <c r="F34" s="16">
        <v>0.4126771874314553</v>
      </c>
      <c r="G34" s="19">
        <v>0.3599630250019414</v>
      </c>
      <c r="H34" s="19">
        <v>0.7749817441404762</v>
      </c>
      <c r="I34" s="19">
        <v>0.3840583979359316</v>
      </c>
      <c r="J34" s="19">
        <v>0.2766834873747249</v>
      </c>
      <c r="K34" s="19">
        <v>0</v>
      </c>
      <c r="L34" s="19">
        <v>0.5555633725674428</v>
      </c>
      <c r="M34" s="19">
        <v>0.2452601627099722</v>
      </c>
      <c r="N34" s="19">
        <v>17.362167</v>
      </c>
      <c r="O34" s="19">
        <v>3.1676524</v>
      </c>
      <c r="P34" s="11">
        <v>0.17969999</v>
      </c>
      <c r="Q34" s="11">
        <v>0.28</v>
      </c>
      <c r="R34" s="11">
        <v>0.2774975167216034</v>
      </c>
      <c r="S34" s="10">
        <v>45.09837584286628</v>
      </c>
      <c r="T34" s="8" t="s">
        <v>77</v>
      </c>
    </row>
    <row r="35" spans="1:20" x14ac:dyDescent="0.25">
      <c r="A35" s="10">
        <v>31</v>
      </c>
      <c r="B35" s="8" t="s">
        <v>131</v>
      </c>
      <c r="C35" s="8" t="s">
        <v>132</v>
      </c>
      <c r="D35" s="8" t="s">
        <v>25</v>
      </c>
      <c r="E35" s="9">
        <v>50.86999893188477</v>
      </c>
      <c r="F35" s="16">
        <v>0.4126047116989254</v>
      </c>
      <c r="G35" s="19">
        <v>0.2615753155071175</v>
      </c>
      <c r="H35" s="19">
        <v>-0.6923506737965556</v>
      </c>
      <c r="I35" s="19">
        <v>1.306361806653459</v>
      </c>
      <c r="J35" s="19">
        <v>1.416721464972737</v>
      </c>
      <c r="K35" s="19">
        <v>0</v>
      </c>
      <c r="L35" s="19">
        <v>-1.003222744291485</v>
      </c>
      <c r="M35" s="19">
        <v>-0.8584319773556982</v>
      </c>
      <c r="N35" s="19">
        <v>48.887848</v>
      </c>
      <c r="O35" s="19">
        <v>2.7368805</v>
      </c>
      <c r="P35" s="11">
        <v>0.06315</v>
      </c>
      <c r="Q35" s="11">
        <v>0.4</v>
      </c>
      <c r="R35" s="11">
        <v>1.37281915384833</v>
      </c>
      <c r="S35" s="10">
        <v>45.56155343779849</v>
      </c>
      <c r="T35" s="8" t="s">
        <v>77</v>
      </c>
    </row>
    <row r="36" spans="1:20" x14ac:dyDescent="0.25">
      <c r="A36" s="10">
        <v>32</v>
      </c>
      <c r="B36" s="8" t="s">
        <v>133</v>
      </c>
      <c r="C36" s="8" t="s">
        <v>134</v>
      </c>
      <c r="D36" s="8" t="s">
        <v>95</v>
      </c>
      <c r="E36" s="9">
        <v>581.0999755859375</v>
      </c>
      <c r="F36" s="16">
        <v>0.3916161455058922</v>
      </c>
      <c r="G36" s="19">
        <v>-1.47114938458048</v>
      </c>
      <c r="H36" s="19">
        <v>2.900487942036482</v>
      </c>
      <c r="I36" s="19">
        <v>-0.1716020620831971</v>
      </c>
      <c r="J36" s="19">
        <v>0.40037687920062</v>
      </c>
      <c r="K36" s="19">
        <v>0</v>
      </c>
      <c r="L36" s="19">
        <v>0.9788374955638623</v>
      </c>
      <c r="M36" s="19">
        <v>-0.2041510092732939</v>
      </c>
      <c r="N36" s="19">
        <v>32.565643</v>
      </c>
      <c r="O36" s="19">
        <v>93.07380000000001</v>
      </c>
      <c r="P36" s="11">
        <v>2.41202</v>
      </c>
      <c r="Q36" s="11">
        <v>0.141</v>
      </c>
      <c r="R36" s="11">
        <v>0.1191447109428658</v>
      </c>
      <c r="S36" s="10">
        <v>56.95037286381055</v>
      </c>
      <c r="T36" s="8" t="s">
        <v>77</v>
      </c>
    </row>
    <row r="37" spans="1:20" x14ac:dyDescent="0.25">
      <c r="A37" s="10">
        <v>33</v>
      </c>
      <c r="B37" s="8" t="s">
        <v>135</v>
      </c>
      <c r="C37" s="8" t="s">
        <v>136</v>
      </c>
      <c r="D37" s="8" t="s">
        <v>98</v>
      </c>
      <c r="E37" s="9">
        <v>405.8399963378906</v>
      </c>
      <c r="F37" s="16">
        <v>0.3894368626144686</v>
      </c>
      <c r="G37" s="19">
        <v>-0.9759620955182193</v>
      </c>
      <c r="H37" s="19">
        <v>-0.4326356610429035</v>
      </c>
      <c r="I37" s="19">
        <v>4.13232288715716</v>
      </c>
      <c r="J37" s="19">
        <v>0.5068170131519655</v>
      </c>
      <c r="K37" s="19">
        <v>0</v>
      </c>
      <c r="L37" s="19">
        <v>0.6306658220897489</v>
      </c>
      <c r="M37" s="19">
        <v>-0.1939752490726785</v>
      </c>
      <c r="N37" s="19">
        <v>105.25127</v>
      </c>
      <c r="O37" s="19">
        <v>2.680677</v>
      </c>
      <c r="P37" s="11">
        <v>0.019199999</v>
      </c>
      <c r="Q37" s="11">
        <v>1.134</v>
      </c>
      <c r="R37" s="11">
        <v>0.3209646903796475</v>
      </c>
      <c r="S37" s="10">
        <v>52.52706816975237</v>
      </c>
      <c r="T37" s="8" t="s">
        <v>77</v>
      </c>
    </row>
    <row r="38" spans="1:20" x14ac:dyDescent="0.25">
      <c r="A38" s="10">
        <v>34</v>
      </c>
      <c r="B38" s="8" t="s">
        <v>137</v>
      </c>
      <c r="C38" s="8" t="s">
        <v>138</v>
      </c>
      <c r="D38" s="8" t="s">
        <v>98</v>
      </c>
      <c r="E38" s="9">
        <v>279.2300109863281</v>
      </c>
      <c r="F38" s="16">
        <v>0.3828445309878786</v>
      </c>
      <c r="G38" s="19">
        <v>-0.7341033794993066</v>
      </c>
      <c r="H38" s="19">
        <v>0.653024735669726</v>
      </c>
      <c r="I38" s="19">
        <v>0.001731719619972795</v>
      </c>
      <c r="J38" s="19">
        <v>1.373359834811231</v>
      </c>
      <c r="K38" s="19">
        <v>0</v>
      </c>
      <c r="L38" s="19">
        <v>-0.8129850454590923</v>
      </c>
      <c r="M38" s="19">
        <v>0.01444772742789091</v>
      </c>
      <c r="N38" s="19">
        <v>45.4335</v>
      </c>
      <c r="O38" s="19">
        <v>6.1722584</v>
      </c>
      <c r="P38" s="11">
        <v>0.14425</v>
      </c>
      <c r="Q38" s="11">
        <v>0.176</v>
      </c>
      <c r="R38" s="11">
        <v>0.5388813209292986</v>
      </c>
      <c r="S38" s="10">
        <v>74.60652658754897</v>
      </c>
      <c r="T38" s="8" t="s">
        <v>77</v>
      </c>
    </row>
    <row r="39" spans="1:20" x14ac:dyDescent="0.25">
      <c r="A39" s="10">
        <v>35</v>
      </c>
      <c r="B39" s="8" t="s">
        <v>139</v>
      </c>
      <c r="C39" s="8" t="s">
        <v>140</v>
      </c>
      <c r="D39" s="8" t="s">
        <v>25</v>
      </c>
      <c r="E39" s="9">
        <v>183.1600036621094</v>
      </c>
      <c r="F39" s="16">
        <v>0.3826329123088687</v>
      </c>
      <c r="G39" s="19">
        <v>-0.4206222377761193</v>
      </c>
      <c r="H39" s="19">
        <v>1.258828701477971</v>
      </c>
      <c r="I39" s="19">
        <v>-0.2081970290549548</v>
      </c>
      <c r="J39" s="19">
        <v>1.070023496104814</v>
      </c>
      <c r="K39" s="19">
        <v>0</v>
      </c>
      <c r="L39" s="19">
        <v>-0.239983863384239</v>
      </c>
      <c r="M39" s="19">
        <v>-0.9346492590982962</v>
      </c>
      <c r="N39" s="19">
        <v>29.498423</v>
      </c>
      <c r="O39" s="19">
        <v>27.131872</v>
      </c>
      <c r="P39" s="11">
        <v>1.06734</v>
      </c>
      <c r="Q39" s="11">
        <v>0.125</v>
      </c>
      <c r="R39" s="11">
        <v>0.8438074962251603</v>
      </c>
      <c r="S39" s="10">
        <v>45.96143628178666</v>
      </c>
      <c r="T39" s="8" t="s">
        <v>77</v>
      </c>
    </row>
    <row r="40" spans="1:20" x14ac:dyDescent="0.25">
      <c r="A40" s="10">
        <v>36</v>
      </c>
      <c r="B40" s="8" t="s">
        <v>141</v>
      </c>
      <c r="C40" s="8" t="s">
        <v>142</v>
      </c>
      <c r="D40" s="8" t="s">
        <v>105</v>
      </c>
      <c r="E40" s="9">
        <v>93.19999694824219</v>
      </c>
      <c r="F40" s="16">
        <v>0.3782564613751516</v>
      </c>
      <c r="G40" s="19">
        <v>0.1323994869339421</v>
      </c>
      <c r="H40" s="19">
        <v>1.644369932284167</v>
      </c>
      <c r="I40" s="19">
        <v>0.03944887499304424</v>
      </c>
      <c r="J40" s="19">
        <v>0.15697387739312</v>
      </c>
      <c r="K40" s="19">
        <v>0</v>
      </c>
      <c r="L40" s="19">
        <v>0.3953052970028949</v>
      </c>
      <c r="M40" s="19">
        <v>-0.3602597417607131</v>
      </c>
      <c r="N40" s="19">
        <v>16.766905</v>
      </c>
      <c r="O40" s="19">
        <v>18.876202</v>
      </c>
      <c r="P40" s="11">
        <v>1.5956</v>
      </c>
      <c r="Q40" s="11">
        <v>0.162</v>
      </c>
      <c r="R40" s="11">
        <v>-0.04423676626675477</v>
      </c>
      <c r="S40" s="10">
        <v>52.36948930562311</v>
      </c>
      <c r="T40" s="8" t="s">
        <v>77</v>
      </c>
    </row>
    <row r="41" spans="1:20" x14ac:dyDescent="0.25">
      <c r="A41" s="10">
        <v>37</v>
      </c>
      <c r="B41" s="8" t="s">
        <v>143</v>
      </c>
      <c r="C41" s="8" t="s">
        <v>144</v>
      </c>
      <c r="D41" s="8" t="s">
        <v>95</v>
      </c>
      <c r="E41" s="9">
        <v>173.5</v>
      </c>
      <c r="F41" s="16">
        <v>0.3773951824522197</v>
      </c>
      <c r="G41" s="19">
        <v>0.5392511670723198</v>
      </c>
      <c r="H41" s="19">
        <v>0.5664211651255424</v>
      </c>
      <c r="I41" s="19">
        <v>-0.05328793731108517</v>
      </c>
      <c r="J41" s="19">
        <v>0.3551382828586324</v>
      </c>
      <c r="K41" s="19">
        <v>0</v>
      </c>
      <c r="L41" s="19">
        <v>0.9356539578408296</v>
      </c>
      <c r="M41" s="19">
        <v>-0.1617095566510254</v>
      </c>
      <c r="N41" s="19">
        <v>15.65096</v>
      </c>
      <c r="O41" s="19">
        <v>2.7135465</v>
      </c>
      <c r="P41" s="11">
        <v>0.18416001</v>
      </c>
      <c r="Q41" s="11">
        <v>0.151</v>
      </c>
      <c r="R41" s="11">
        <v>0.1317852142544169</v>
      </c>
      <c r="S41" s="10">
        <v>47.03672897866576</v>
      </c>
      <c r="T41" s="8" t="s">
        <v>77</v>
      </c>
    </row>
    <row r="42" spans="1:20" x14ac:dyDescent="0.25">
      <c r="A42" s="10">
        <v>38</v>
      </c>
      <c r="B42" s="8" t="s">
        <v>145</v>
      </c>
      <c r="C42" s="8" t="s">
        <v>146</v>
      </c>
      <c r="D42" s="8" t="s">
        <v>25</v>
      </c>
      <c r="E42" s="9">
        <v>31.31999969482422</v>
      </c>
      <c r="F42" s="16">
        <v>0.3765306999293311</v>
      </c>
      <c r="G42" s="19">
        <v>1.18884239126269</v>
      </c>
      <c r="H42" s="19">
        <v>-0.9872240870343698</v>
      </c>
      <c r="I42" s="19">
        <v>-0.3680930717051557</v>
      </c>
      <c r="J42" s="19">
        <v>1.282655814237512</v>
      </c>
      <c r="K42" s="19">
        <v>0</v>
      </c>
      <c r="L42" s="19">
        <v>-0.3882822646386584</v>
      </c>
      <c r="M42" s="19">
        <v>-0.6172407723299035</v>
      </c>
      <c r="N42" s="19">
        <v>11.648855</v>
      </c>
      <c r="O42" s="19">
        <v>-305.2</v>
      </c>
      <c r="P42" s="11">
        <v>0</v>
      </c>
      <c r="Q42" s="11">
        <v>0.125</v>
      </c>
      <c r="R42" s="11">
        <v>0.7227637365928901</v>
      </c>
      <c r="S42" s="10">
        <v>62.78791024319322</v>
      </c>
      <c r="T42" s="8" t="s">
        <v>77</v>
      </c>
    </row>
    <row r="43" spans="1:20" x14ac:dyDescent="0.25">
      <c r="A43" s="10">
        <v>39</v>
      </c>
      <c r="B43" s="8" t="s">
        <v>147</v>
      </c>
      <c r="C43" s="8" t="s">
        <v>148</v>
      </c>
      <c r="D43" s="8" t="s">
        <v>95</v>
      </c>
      <c r="E43" s="9">
        <v>372.6700134277344</v>
      </c>
      <c r="F43" s="16">
        <v>0.3764471816204712</v>
      </c>
      <c r="G43" s="19">
        <v>-0.8622441204646991</v>
      </c>
      <c r="H43" s="19">
        <v>1.971798251919513</v>
      </c>
      <c r="I43" s="19">
        <v>-0.2184519826388571</v>
      </c>
      <c r="J43" s="19">
        <v>0.4255139254045108</v>
      </c>
      <c r="K43" s="19">
        <v>0</v>
      </c>
      <c r="L43" s="19">
        <v>1.075759308177671</v>
      </c>
      <c r="M43" s="19">
        <v>0.007940041930133312</v>
      </c>
      <c r="N43" s="19">
        <v>32.476597</v>
      </c>
      <c r="O43" s="19">
        <v>20.222574</v>
      </c>
      <c r="P43" s="11">
        <v>0.6119</v>
      </c>
      <c r="Q43" s="11">
        <v>0.144</v>
      </c>
      <c r="R43" s="11">
        <v>0.1673156612317195</v>
      </c>
      <c r="S43" s="10">
        <v>55.34628421874768</v>
      </c>
      <c r="T43" s="8" t="s">
        <v>77</v>
      </c>
    </row>
    <row r="44" spans="1:20" x14ac:dyDescent="0.25">
      <c r="A44" s="10">
        <v>40</v>
      </c>
      <c r="B44" s="8" t="s">
        <v>149</v>
      </c>
      <c r="C44" s="8" t="s">
        <v>150</v>
      </c>
      <c r="D44" s="8" t="s">
        <v>95</v>
      </c>
      <c r="E44" s="9">
        <v>1002.559997558594</v>
      </c>
      <c r="F44" s="16">
        <v>0.3633983433353277</v>
      </c>
      <c r="G44" s="19">
        <v>0.3744813910308467</v>
      </c>
      <c r="H44" s="19">
        <v>0.8243277724214527</v>
      </c>
      <c r="I44" s="19">
        <v>0.9077656154464111</v>
      </c>
      <c r="J44" s="19">
        <v>-0.01580374169888174</v>
      </c>
      <c r="K44" s="19">
        <v>0</v>
      </c>
      <c r="L44" s="19">
        <v>0.04266007988564412</v>
      </c>
      <c r="M44" s="19">
        <v>0.3987050541748531</v>
      </c>
      <c r="N44" s="19">
        <v>16.078215</v>
      </c>
      <c r="O44" s="19">
        <v>2.8559394</v>
      </c>
      <c r="P44" s="11">
        <v>0.16902</v>
      </c>
      <c r="Q44" s="11">
        <v>0.425</v>
      </c>
      <c r="R44" s="11">
        <v>0.1743184821970312</v>
      </c>
      <c r="S44" s="10">
        <v>42.58530471072517</v>
      </c>
      <c r="T44" s="8" t="s">
        <v>77</v>
      </c>
    </row>
  </sheetData>
  <autoFilter ref="A4:T44"/>
  <conditionalFormatting sqref="F5:F44">
    <cfRule type="dataBar" priority="1">
      <dataBar>
        <cfvo type="min"/>
        <cfvo type="max"/>
        <color rgb="FF7BA7F0"/>
      </dataBar>
      <extLst>
        <ext xmlns:x14="http://schemas.microsoft.com/office/spreadsheetml/2009/9/main" uri="{B025F937-C7B1-47D3-B67F-A62EFF666E3E}">
          <x14:id>{DA7ABA51-AAAA-BBBB-0005-000000000001}</x14:id>
        </ext>
      </extLst>
    </cfRule>
  </conditionalFormatting>
  <conditionalFormatting sqref="G5:M44">
    <cfRule type="colorScale" priority="2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5-000000000001}">
            <x14:dataBar minLength="0" maxLength="100" border="1" gradient="0" negativeBarBorderColorSameAsPositive="0">
              <x14:cfvo type="autoMin"/>
              <x14:cfvo type="autoMax"/>
              <x14:borderColor rgb="FF7BA7F0"/>
              <x14:negativeFillColor rgb="FFFF0000"/>
              <x14:negativeBorderColor rgb="FFFF0000"/>
              <x14:axisColor rgb="FF000000"/>
            </x14:dataBar>
          </x14:cfRule>
          <xm:sqref>F5:F44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"/>
  <sheetViews>
    <sheetView showGridLines="0" workbookViewId="0"/>
  </sheetViews>
  <sheetFormatPr defaultRowHeight="15" x14ac:dyDescent="0.25"/>
  <cols>
    <col min="1" max="1" width="16.7109375" customWidth="1"/>
    <col min="2" max="2" width="10.7109375" customWidth="1"/>
    <col min="3" max="3" width="74.7109375" customWidth="1"/>
  </cols>
  <sheetData>
    <row r="1" spans="1:3" x14ac:dyDescent="0.25">
      <c r="A1" s="1" t="s">
        <v>151</v>
      </c>
    </row>
    <row r="2" spans="1:3" x14ac:dyDescent="0.25">
      <c r="A2" s="2" t="s">
        <v>152</v>
      </c>
    </row>
    <row r="4" spans="1:3" x14ac:dyDescent="0.25">
      <c r="A4" s="7" t="s">
        <v>153</v>
      </c>
    </row>
    <row r="5" spans="1:3" ht="30" customHeight="1" x14ac:dyDescent="0.25">
      <c r="A5" s="14" t="s">
        <v>154</v>
      </c>
      <c r="B5" s="14" t="s">
        <v>155</v>
      </c>
      <c r="C5" s="14" t="s">
        <v>156</v>
      </c>
    </row>
    <row r="6" spans="1:3" x14ac:dyDescent="0.25">
      <c r="A6" s="8" t="s">
        <v>157</v>
      </c>
      <c r="B6" s="11">
        <v>0.18</v>
      </c>
      <c r="C6" s="8" t="s">
        <v>158</v>
      </c>
    </row>
    <row r="7" spans="1:3" x14ac:dyDescent="0.25">
      <c r="A7" s="8" t="s">
        <v>159</v>
      </c>
      <c r="B7" s="11">
        <v>0.16</v>
      </c>
      <c r="C7" s="8" t="s">
        <v>160</v>
      </c>
    </row>
    <row r="8" spans="1:3" x14ac:dyDescent="0.25">
      <c r="A8" s="8" t="s">
        <v>161</v>
      </c>
      <c r="B8" s="11">
        <v>0.1</v>
      </c>
      <c r="C8" s="8" t="s">
        <v>162</v>
      </c>
    </row>
    <row r="9" spans="1:3" x14ac:dyDescent="0.25">
      <c r="A9" s="8" t="s">
        <v>163</v>
      </c>
      <c r="B9" s="11">
        <v>0.3</v>
      </c>
      <c r="C9" s="8" t="s">
        <v>164</v>
      </c>
    </row>
    <row r="10" spans="1:3" x14ac:dyDescent="0.25">
      <c r="A10" s="8" t="s">
        <v>165</v>
      </c>
      <c r="B10" s="11">
        <v>0.12</v>
      </c>
      <c r="C10" s="8" t="s">
        <v>166</v>
      </c>
    </row>
    <row r="11" spans="1:3" x14ac:dyDescent="0.25">
      <c r="A11" s="8" t="s">
        <v>167</v>
      </c>
      <c r="B11" s="11">
        <v>0.06</v>
      </c>
      <c r="C11" s="8" t="s">
        <v>168</v>
      </c>
    </row>
    <row r="12" spans="1:3" x14ac:dyDescent="0.25">
      <c r="A12" s="8" t="s">
        <v>169</v>
      </c>
      <c r="B12" s="11">
        <v>0.08</v>
      </c>
      <c r="C12" s="8" t="s">
        <v>170</v>
      </c>
    </row>
    <row r="13" spans="1:3" x14ac:dyDescent="0.25">
      <c r="A13" s="12" t="s">
        <v>171</v>
      </c>
      <c r="B13" s="11">
        <f>SUM(B6:B12)</f>
        <v>0.9999999999999999</v>
      </c>
    </row>
    <row r="15" spans="1:3" x14ac:dyDescent="0.25">
      <c r="A15" s="7" t="s">
        <v>172</v>
      </c>
    </row>
    <row r="16" spans="1:3" x14ac:dyDescent="0.25">
      <c r="A16" s="13" t="s">
        <v>173</v>
      </c>
    </row>
    <row r="18" spans="1:7" x14ac:dyDescent="0.25">
      <c r="A18" s="7" t="s">
        <v>174</v>
      </c>
    </row>
    <row r="19" spans="1:7" x14ac:dyDescent="0.25">
      <c r="A19" s="13" t="s">
        <v>175</v>
      </c>
      <c r="B19" s="13"/>
      <c r="C19" s="13"/>
      <c r="D19" s="13"/>
      <c r="E19" s="13"/>
      <c r="F19" s="13"/>
      <c r="G19" s="13"/>
    </row>
    <row r="20" spans="1:7" x14ac:dyDescent="0.25">
      <c r="A20" s="13"/>
      <c r="B20" s="13"/>
      <c r="C20" s="13"/>
      <c r="D20" s="13"/>
      <c r="E20" s="13"/>
      <c r="F20" s="13"/>
      <c r="G20" s="13"/>
    </row>
    <row r="21" spans="1:7" x14ac:dyDescent="0.25">
      <c r="A21" s="13"/>
      <c r="B21" s="13"/>
      <c r="C21" s="13"/>
      <c r="D21" s="13"/>
      <c r="E21" s="13"/>
      <c r="F21" s="13"/>
      <c r="G21" s="13"/>
    </row>
  </sheetData>
  <mergeCells count="1">
    <mergeCell ref="A19:G21"/>
  </mergeCells>
  <conditionalFormatting sqref="B6:B12">
    <cfRule type="dataBar" priority="1">
      <dataBar>
        <cfvo type="min"/>
        <cfvo type="max"/>
        <color rgb="FF7BA7F0"/>
      </dataBar>
      <extLst>
        <ext xmlns:x14="http://schemas.microsoft.com/office/spreadsheetml/2009/9/main" uri="{B025F937-C7B1-47D3-B67F-A62EFF666E3E}">
          <x14:id>{DA7ABA51-AAAA-BBBB-0006-000000000001}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6-000000000001}">
            <x14:dataBar minLength="0" maxLength="100" border="1" gradient="0" negativeBarBorderColorSameAsPositive="0">
              <x14:cfvo type="autoMin"/>
              <x14:cfvo type="autoMax"/>
              <x14:borderColor rgb="FF7BA7F0"/>
              <x14:negativeFillColor rgb="FFFF0000"/>
              <x14:negativeBorderColor rgb="FFFF0000"/>
              <x14:axisColor rgb="FF000000"/>
            </x14:dataBar>
          </x14:cfRule>
          <xm:sqref>B6:B12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>
  <dimension ref="A1:B27"/>
  <sheetViews>
    <sheetView showGridLines="0" workbookViewId="0"/>
  </sheetViews>
  <sheetFormatPr defaultRowHeight="15"/>
  <cols>
    <col min="1" max="1" width="34.7109375" customWidth="1"/>
    <col min="2" max="2" width="86.7109375" customWidth="1"/>
  </cols>
  <sheetData>
    <row r="1" spans="1:2">
      <c r="A1" s="1" t="s">
        <v>201</v>
      </c>
    </row>
    <row r="3" spans="1:2">
      <c r="A3" s="7" t="s">
        <v>202</v>
      </c>
    </row>
    <row r="4" spans="1:2">
      <c r="A4" s="8" t="s">
        <v>203</v>
      </c>
      <c r="B4" s="8" t="s">
        <v>204</v>
      </c>
    </row>
    <row r="5" spans="1:2">
      <c r="A5" s="8" t="s">
        <v>205</v>
      </c>
      <c r="B5" s="8" t="s">
        <v>38</v>
      </c>
    </row>
    <row r="6" spans="1:2">
      <c r="A6" s="8" t="s">
        <v>206</v>
      </c>
      <c r="B6" s="8" t="s">
        <v>207</v>
      </c>
    </row>
    <row r="7" spans="1:2">
      <c r="A7" s="8" t="s">
        <v>208</v>
      </c>
      <c r="B7" s="8" t="s">
        <v>209</v>
      </c>
    </row>
    <row r="8" spans="1:2">
      <c r="A8" s="8" t="s">
        <v>210</v>
      </c>
      <c r="B8" s="8" t="s">
        <v>78</v>
      </c>
    </row>
    <row r="9" spans="1:2">
      <c r="A9" s="8" t="s">
        <v>211</v>
      </c>
      <c r="B9" s="8" t="s">
        <v>27</v>
      </c>
    </row>
    <row r="10" spans="1:2">
      <c r="A10" s="8" t="s">
        <v>212</v>
      </c>
      <c r="B10" s="8" t="s">
        <v>213</v>
      </c>
    </row>
    <row r="11" spans="1:2">
      <c r="A11" s="8" t="s">
        <v>214</v>
      </c>
      <c r="B11" s="8" t="s">
        <v>215</v>
      </c>
    </row>
    <row r="12" spans="1:2">
      <c r="A12" s="8" t="s">
        <v>216</v>
      </c>
      <c r="B12" s="8" t="s">
        <v>217</v>
      </c>
    </row>
    <row r="13" spans="1:2">
      <c r="A13" s="8" t="s">
        <v>218</v>
      </c>
      <c r="B13" s="8" t="s">
        <v>219</v>
      </c>
    </row>
    <row r="14" spans="1:2">
      <c r="A14" s="8" t="s">
        <v>220</v>
      </c>
      <c r="B14" s="8" t="s">
        <v>221</v>
      </c>
    </row>
    <row r="16" spans="1:2">
      <c r="A16" s="7" t="s">
        <v>222</v>
      </c>
    </row>
    <row r="17" spans="1:2" ht="30" customHeight="1">
      <c r="A17" s="12" t="s">
        <v>223</v>
      </c>
      <c r="B17" s="13" t="s">
        <v>224</v>
      </c>
    </row>
    <row r="18" spans="1:2" ht="30" customHeight="1">
      <c r="A18" s="12" t="s">
        <v>225</v>
      </c>
      <c r="B18" s="13" t="s">
        <v>226</v>
      </c>
    </row>
    <row r="19" spans="1:2" ht="30" customHeight="1">
      <c r="A19" s="12" t="s">
        <v>227</v>
      </c>
      <c r="B19" s="13" t="s">
        <v>228</v>
      </c>
    </row>
    <row r="20" spans="1:2" ht="30" customHeight="1">
      <c r="A20" s="12" t="s">
        <v>229</v>
      </c>
      <c r="B20" s="13" t="s">
        <v>230</v>
      </c>
    </row>
    <row r="22" spans="1:2">
      <c r="A22" s="7" t="s">
        <v>231</v>
      </c>
    </row>
    <row r="23" spans="1:2" ht="32" customHeight="1">
      <c r="A23" s="20" t="s">
        <v>232</v>
      </c>
      <c r="B23" s="20"/>
    </row>
    <row r="24" spans="1:2" ht="32" customHeight="1">
      <c r="A24" s="20" t="s">
        <v>233</v>
      </c>
      <c r="B24" s="20"/>
    </row>
    <row r="25" spans="1:2" ht="32" customHeight="1">
      <c r="A25" s="20" t="s">
        <v>234</v>
      </c>
      <c r="B25" s="20"/>
    </row>
    <row r="26" spans="1:2" ht="32" customHeight="1">
      <c r="A26" s="20" t="s">
        <v>235</v>
      </c>
      <c r="B26" s="20"/>
    </row>
    <row r="27" spans="1:2" ht="32" customHeight="1">
      <c r="A27" s="20" t="s">
        <v>236</v>
      </c>
      <c r="B27" s="20"/>
    </row>
  </sheetData>
  <mergeCells count="5">
    <mergeCell ref="A23:B23"/>
    <mergeCell ref="A24:B24"/>
    <mergeCell ref="A25:B25"/>
    <mergeCell ref="A26:B26"/>
    <mergeCell ref="A27:B2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I6"/>
  <sheetViews>
    <sheetView workbookViewId="0"/>
  </sheetViews>
  <sheetFormatPr defaultRowHeight="15"/>
  <sheetData>
    <row r="1" spans="1:61">
      <c r="A1" t="s">
        <v>0</v>
      </c>
      <c r="B1">
        <v>400.1088256835938</v>
      </c>
      <c r="C1">
        <v>381.1501770019531</v>
      </c>
      <c r="D1">
        <v>369.2198791503906</v>
      </c>
      <c r="E1">
        <v>390.8042297363281</v>
      </c>
      <c r="F1">
        <v>394.9174194335938</v>
      </c>
      <c r="G1">
        <v>408.3951416015625</v>
      </c>
      <c r="H1">
        <v>403.4133605957031</v>
      </c>
      <c r="I1">
        <v>418.6282348632812</v>
      </c>
      <c r="J1">
        <v>408.8244323730469</v>
      </c>
      <c r="K1">
        <v>418.0192260742188</v>
      </c>
      <c r="L1">
        <v>427.0742797851562</v>
      </c>
      <c r="M1">
        <v>433.3439025878906</v>
      </c>
      <c r="N1">
        <v>408.7745361328125</v>
      </c>
      <c r="O1">
        <v>398.8309326171875</v>
      </c>
      <c r="P1">
        <v>413.9259948730469</v>
      </c>
      <c r="Q1">
        <v>430.7481994628906</v>
      </c>
      <c r="R1">
        <v>424.5484619140625</v>
      </c>
      <c r="S1">
        <v>393.6694946289062</v>
      </c>
      <c r="T1">
        <v>411.1206359863281</v>
      </c>
      <c r="U1">
        <v>416.5915832519531</v>
      </c>
      <c r="V1">
        <v>431.2573547363281</v>
      </c>
      <c r="W1">
        <v>449.4772644042969</v>
      </c>
      <c r="X1">
        <v>434.2524108886719</v>
      </c>
      <c r="Y1">
        <v>426.4053649902344</v>
      </c>
      <c r="Z1">
        <v>456.7851867675781</v>
      </c>
      <c r="AA1">
        <v>411.9991760253906</v>
      </c>
      <c r="AB1">
        <v>390.7343444824219</v>
      </c>
      <c r="AC1">
        <v>395.6861267089844</v>
      </c>
      <c r="AD1">
        <v>381.25</v>
      </c>
      <c r="AE1">
        <v>404.1499938964844</v>
      </c>
      <c r="AF1">
        <v>441.7999877929688</v>
      </c>
      <c r="AG1">
        <v>439.3399963378906</v>
      </c>
      <c r="AH1">
        <v>437.5</v>
      </c>
      <c r="AI1">
        <v>426.9100036621094</v>
      </c>
      <c r="AJ1">
        <v>392.1000061035156</v>
      </c>
      <c r="AK1">
        <v>369.6400146484375</v>
      </c>
      <c r="AL1">
        <v>404.8099975585938</v>
      </c>
      <c r="AM1">
        <v>405.3699951171875</v>
      </c>
      <c r="AN1">
        <v>429.0199890136719</v>
      </c>
      <c r="AO1">
        <v>467.2699890136719</v>
      </c>
      <c r="AP1">
        <v>462.7000122070312</v>
      </c>
      <c r="AQ1">
        <v>437.6499938964844</v>
      </c>
      <c r="AR1">
        <v>453.7699890136719</v>
      </c>
      <c r="AS1">
        <v>457.8800048828125</v>
      </c>
      <c r="AT1">
        <v>440.9700012207031</v>
      </c>
      <c r="AU1">
        <v>484.5</v>
      </c>
      <c r="AV1">
        <v>494.510009765625</v>
      </c>
      <c r="AW1">
        <v>490.8099975585938</v>
      </c>
      <c r="AX1">
        <v>479.8099975585938</v>
      </c>
      <c r="AY1">
        <v>468.6499938964844</v>
      </c>
      <c r="AZ1">
        <v>437.5499877929688</v>
      </c>
      <c r="BA1">
        <v>434.7799987792969</v>
      </c>
      <c r="BB1">
        <v>442.0799865722656</v>
      </c>
      <c r="BC1">
        <v>433.1900024414062</v>
      </c>
      <c r="BD1">
        <v>451.5</v>
      </c>
      <c r="BE1">
        <v>463.8200073242188</v>
      </c>
      <c r="BF1">
        <v>472.260009765625</v>
      </c>
      <c r="BG1">
        <v>456.239990234375</v>
      </c>
      <c r="BH1">
        <v>456.010009765625</v>
      </c>
      <c r="BI1">
        <v>425</v>
      </c>
    </row>
    <row r="2" spans="1:61">
      <c r="A2" t="s">
        <v>1</v>
      </c>
      <c r="B2">
        <v>949.134033203125</v>
      </c>
      <c r="C2">
        <v>935.74609375</v>
      </c>
      <c r="D2">
        <v>891.7428588867188</v>
      </c>
      <c r="E2">
        <v>995.7168579101562</v>
      </c>
      <c r="F2">
        <v>981.4590454101562</v>
      </c>
      <c r="G2">
        <v>1087.822631835938</v>
      </c>
      <c r="H2">
        <v>1020.60302734375</v>
      </c>
      <c r="I2">
        <v>1043.029541015625</v>
      </c>
      <c r="J2">
        <v>1133.815551757812</v>
      </c>
      <c r="K2">
        <v>1211.193725585938</v>
      </c>
      <c r="L2">
        <v>1051.608276367188</v>
      </c>
      <c r="M2">
        <v>1048.348754882812</v>
      </c>
      <c r="N2">
        <v>1213.373413085938</v>
      </c>
      <c r="O2">
        <v>1132.155883789062</v>
      </c>
      <c r="P2">
        <v>1145.103881835938</v>
      </c>
      <c r="Q2">
        <v>1154.112548828125</v>
      </c>
      <c r="R2">
        <v>1032.121337890625</v>
      </c>
      <c r="S2">
        <v>975.4099731445312</v>
      </c>
      <c r="T2">
        <v>984.75</v>
      </c>
      <c r="U2">
        <v>938.3800048828125</v>
      </c>
      <c r="V2">
        <v>948.7999877929688</v>
      </c>
      <c r="W2">
        <v>991.6400146484375</v>
      </c>
      <c r="X2">
        <v>979.2999877929688</v>
      </c>
      <c r="Y2">
        <v>937</v>
      </c>
      <c r="Z2">
        <v>983.1199951171875</v>
      </c>
      <c r="AA2">
        <v>904.280029296875</v>
      </c>
      <c r="AB2">
        <v>853.2000122070312</v>
      </c>
      <c r="AC2">
        <v>848.9500122070312</v>
      </c>
      <c r="AD2">
        <v>865.4600219726562</v>
      </c>
      <c r="AE2">
        <v>970.8200073242188</v>
      </c>
      <c r="AF2">
        <v>959.47998046875</v>
      </c>
      <c r="AG2">
        <v>990.2100219726562</v>
      </c>
      <c r="AH2">
        <v>920.9500122070312</v>
      </c>
      <c r="AI2">
        <v>900.2000122070312</v>
      </c>
      <c r="AJ2">
        <v>820.530029296875</v>
      </c>
      <c r="AK2">
        <v>739</v>
      </c>
      <c r="AL2">
        <v>874.6599731445312</v>
      </c>
      <c r="AM2">
        <v>823.030029296875</v>
      </c>
      <c r="AN2">
        <v>829.5</v>
      </c>
      <c r="AO2">
        <v>892.6699829101562</v>
      </c>
      <c r="AP2">
        <v>893.1900024414062</v>
      </c>
      <c r="AQ2">
        <v>881.469970703125</v>
      </c>
      <c r="AR2">
        <v>877.5700073242188</v>
      </c>
      <c r="AS2">
        <v>861</v>
      </c>
      <c r="AT2">
        <v>868.52001953125</v>
      </c>
      <c r="AU2">
        <v>911.2899780273438</v>
      </c>
      <c r="AV2">
        <v>949.8300170898438</v>
      </c>
      <c r="AW2">
        <v>971.6599731445312</v>
      </c>
      <c r="AX2">
        <v>1011.75</v>
      </c>
      <c r="AY2">
        <v>940.760009765625</v>
      </c>
      <c r="AZ2">
        <v>937.1099853515625</v>
      </c>
      <c r="BA2">
        <v>974.3300170898438</v>
      </c>
      <c r="BB2">
        <v>966.780029296875</v>
      </c>
      <c r="BC2">
        <v>910.4299926757812</v>
      </c>
      <c r="BD2">
        <v>932.969970703125</v>
      </c>
      <c r="BE2">
        <v>938.4000244140625</v>
      </c>
      <c r="BF2">
        <v>935.3900146484375</v>
      </c>
      <c r="BG2">
        <v>932.8599853515625</v>
      </c>
      <c r="BH2">
        <v>958.72998046875</v>
      </c>
      <c r="BI2">
        <v>933.4400024414062</v>
      </c>
    </row>
    <row r="3" spans="1:61">
      <c r="A3" t="s">
        <v>2</v>
      </c>
      <c r="B3">
        <v>1642</v>
      </c>
      <c r="C3">
        <v>1646.5400390625</v>
      </c>
      <c r="D3">
        <v>1643.22998046875</v>
      </c>
      <c r="E3">
        <v>1881.510009765625</v>
      </c>
      <c r="F3">
        <v>1980.099975585938</v>
      </c>
      <c r="G3">
        <v>2107.860107421875</v>
      </c>
      <c r="H3">
        <v>1991.550048828125</v>
      </c>
      <c r="I3">
        <v>1958.800048828125</v>
      </c>
      <c r="J3">
        <v>2184.75</v>
      </c>
      <c r="K3">
        <v>2273.72998046875</v>
      </c>
      <c r="L3">
        <v>1963.599975585938</v>
      </c>
      <c r="M3">
        <v>1914.4599609375</v>
      </c>
      <c r="N3">
        <v>2335</v>
      </c>
      <c r="O3">
        <v>2090.7099609375</v>
      </c>
      <c r="P3">
        <v>2050.389892578125</v>
      </c>
      <c r="Q3">
        <v>2273.72998046875</v>
      </c>
      <c r="R3">
        <v>2032.219970703125</v>
      </c>
      <c r="S3">
        <v>1745</v>
      </c>
      <c r="T3">
        <v>1744.430053710938</v>
      </c>
      <c r="U3">
        <v>1617.699951171875</v>
      </c>
      <c r="V3">
        <v>1727.180053710938</v>
      </c>
      <c r="W3">
        <v>1858.27001953125</v>
      </c>
      <c r="X3">
        <v>1915.920043945312</v>
      </c>
      <c r="Y3">
        <v>1673.969970703125</v>
      </c>
      <c r="Z3">
        <v>1757.819946289062</v>
      </c>
      <c r="AA3">
        <v>1615</v>
      </c>
      <c r="AB3">
        <v>1411.079956054688</v>
      </c>
      <c r="AC3">
        <v>1354.819946289062</v>
      </c>
      <c r="AD3">
        <v>1390.949951171875</v>
      </c>
      <c r="AE3">
        <v>1589.400024414062</v>
      </c>
      <c r="AF3">
        <v>1599.27001953125</v>
      </c>
      <c r="AG3">
        <v>1610.329956054688</v>
      </c>
      <c r="AH3">
        <v>1436.56005859375</v>
      </c>
      <c r="AI3">
        <v>1278.22998046875</v>
      </c>
      <c r="AJ3">
        <v>1096.099975585938</v>
      </c>
      <c r="AK3">
        <v>1015.890014648438</v>
      </c>
      <c r="AL3">
        <v>1279.9599609375</v>
      </c>
      <c r="AM3">
        <v>1214.829956054688</v>
      </c>
      <c r="AN3">
        <v>1288.030029296875</v>
      </c>
      <c r="AO3">
        <v>1427.619995117188</v>
      </c>
      <c r="AP3">
        <v>1350.5</v>
      </c>
      <c r="AQ3">
        <v>1258.579956054688</v>
      </c>
      <c r="AR3">
        <v>1212.2099609375</v>
      </c>
      <c r="AS3">
        <v>1237.920043945312</v>
      </c>
      <c r="AT3">
        <v>1271.050048828125</v>
      </c>
      <c r="AU3">
        <v>1344.2900390625</v>
      </c>
      <c r="AV3">
        <v>1528.109985351562</v>
      </c>
      <c r="AW3">
        <v>1641.109985351562</v>
      </c>
      <c r="AX3">
        <v>1786.849975585938</v>
      </c>
      <c r="AY3">
        <v>1625.780029296875</v>
      </c>
      <c r="AZ3">
        <v>1568.869995117188</v>
      </c>
      <c r="BA3">
        <v>1600.619995117188</v>
      </c>
      <c r="BB3">
        <v>1596.079956054688</v>
      </c>
      <c r="BC3">
        <v>1493.119995117188</v>
      </c>
      <c r="BD3">
        <v>1480.77001953125</v>
      </c>
      <c r="BE3">
        <v>1499.369995117188</v>
      </c>
      <c r="BF3">
        <v>1484.949951171875</v>
      </c>
      <c r="BG3">
        <v>1484.97998046875</v>
      </c>
      <c r="BH3">
        <v>1566.699951171875</v>
      </c>
      <c r="BI3">
        <v>1536.869995117188</v>
      </c>
    </row>
    <row r="4" spans="1:61">
      <c r="A4" t="s">
        <v>3</v>
      </c>
      <c r="B4">
        <v>526.9299926757812</v>
      </c>
      <c r="C4">
        <v>517.719970703125</v>
      </c>
      <c r="D4">
        <v>490.0899963378906</v>
      </c>
      <c r="E4">
        <v>529.2899780273438</v>
      </c>
      <c r="F4">
        <v>562.9299926757812</v>
      </c>
      <c r="G4">
        <v>653.530029296875</v>
      </c>
      <c r="H4">
        <v>681.0800170898438</v>
      </c>
      <c r="I4">
        <v>712.1300048828125</v>
      </c>
      <c r="J4">
        <v>746.22998046875</v>
      </c>
      <c r="K4">
        <v>732.6199951171875</v>
      </c>
      <c r="L4">
        <v>670.75</v>
      </c>
      <c r="M4">
        <v>643.8300170898438</v>
      </c>
      <c r="N4">
        <v>675.3900146484375</v>
      </c>
      <c r="O4">
        <v>586.4500122070312</v>
      </c>
      <c r="P4">
        <v>651.8800048828125</v>
      </c>
      <c r="Q4">
        <v>638.719970703125</v>
      </c>
      <c r="R4">
        <v>598.3699951171875</v>
      </c>
      <c r="S4">
        <v>539</v>
      </c>
      <c r="T4">
        <v>577.4600219726562</v>
      </c>
      <c r="U4">
        <v>532.0999755859375</v>
      </c>
      <c r="V4">
        <v>550.2999877929688</v>
      </c>
      <c r="W4">
        <v>578.0499877929688</v>
      </c>
      <c r="X4">
        <v>582.5900268554688</v>
      </c>
      <c r="Y4">
        <v>555.5499877929688</v>
      </c>
      <c r="Z4">
        <v>563.3200073242188</v>
      </c>
      <c r="AA4">
        <v>513.8400268554688</v>
      </c>
      <c r="AB4">
        <v>466.8099975585938</v>
      </c>
      <c r="AC4">
        <v>477.2200012207031</v>
      </c>
      <c r="AD4">
        <v>487.4200134277344</v>
      </c>
      <c r="AE4">
        <v>548.3900146484375</v>
      </c>
      <c r="AF4">
        <v>556.6699829101562</v>
      </c>
      <c r="AG4">
        <v>558.2999877929688</v>
      </c>
      <c r="AH4">
        <v>519.7999877929688</v>
      </c>
      <c r="AI4">
        <v>497.9200134277344</v>
      </c>
      <c r="AJ4">
        <v>463.510009765625</v>
      </c>
      <c r="AK4">
        <v>462.0400085449219</v>
      </c>
      <c r="AL4">
        <v>533.0399780273438</v>
      </c>
      <c r="AM4">
        <v>544.8400268554688</v>
      </c>
      <c r="AN4">
        <v>527.219970703125</v>
      </c>
      <c r="AO4">
        <v>548.5599975585938</v>
      </c>
      <c r="AP4">
        <v>519.1699829101562</v>
      </c>
      <c r="AQ4">
        <v>451.5199890136719</v>
      </c>
      <c r="AR4">
        <v>434.2999877929688</v>
      </c>
      <c r="AS4">
        <v>438.3399963378906</v>
      </c>
      <c r="AT4">
        <v>437.9299926757812</v>
      </c>
      <c r="AU4">
        <v>454.1000061035156</v>
      </c>
      <c r="AV4">
        <v>487.2900085449219</v>
      </c>
      <c r="AW4">
        <v>508.7999877929688</v>
      </c>
      <c r="AX4">
        <v>536.010009765625</v>
      </c>
      <c r="AY4">
        <v>496.1600036621094</v>
      </c>
      <c r="AZ4">
        <v>462.0899963378906</v>
      </c>
      <c r="BA4">
        <v>469.0499877929688</v>
      </c>
      <c r="BB4">
        <v>459.4400024414062</v>
      </c>
      <c r="BC4">
        <v>435.3800048828125</v>
      </c>
      <c r="BD4">
        <v>450.75</v>
      </c>
      <c r="BE4">
        <v>468.8800048828125</v>
      </c>
      <c r="BF4">
        <v>462</v>
      </c>
      <c r="BG4">
        <v>450.5499877929688</v>
      </c>
      <c r="BH4">
        <v>450.4400024414062</v>
      </c>
    </row>
    <row r="5" spans="1:61">
      <c r="A5" t="s">
        <v>4</v>
      </c>
      <c r="B5">
        <v>257.3952941894531</v>
      </c>
      <c r="C5">
        <v>252.8030090332031</v>
      </c>
      <c r="D5">
        <v>256.9967956542969</v>
      </c>
      <c r="E5">
        <v>254.6160125732422</v>
      </c>
      <c r="F5">
        <v>257.6741943359375</v>
      </c>
      <c r="G5">
        <v>246.20849609375</v>
      </c>
      <c r="H5">
        <v>243.1901702880859</v>
      </c>
      <c r="I5">
        <v>238.8469543457031</v>
      </c>
      <c r="J5">
        <v>235.3903045654297</v>
      </c>
      <c r="K5">
        <v>242.8415069580078</v>
      </c>
      <c r="L5">
        <v>242.7418823242188</v>
      </c>
      <c r="M5">
        <v>241.4967041015625</v>
      </c>
      <c r="N5">
        <v>254.0780792236328</v>
      </c>
      <c r="O5">
        <v>258.3714904785156</v>
      </c>
      <c r="P5">
        <v>265.2947387695312</v>
      </c>
      <c r="Q5">
        <v>259.4373779296875</v>
      </c>
      <c r="R5">
        <v>268.4027404785156</v>
      </c>
      <c r="S5">
        <v>266.7291870117188</v>
      </c>
      <c r="T5">
        <v>269.2793579101562</v>
      </c>
      <c r="U5">
        <v>265.1951293945312</v>
      </c>
      <c r="V5">
        <v>281.7909851074219</v>
      </c>
      <c r="W5">
        <v>280.1672668457031</v>
      </c>
      <c r="X5">
        <v>279.6094055175781</v>
      </c>
      <c r="Y5">
        <v>294.6513061523438</v>
      </c>
      <c r="Z5">
        <v>300.2695617675781</v>
      </c>
      <c r="AA5">
        <v>291.5333251953125</v>
      </c>
      <c r="AB5">
        <v>299.1040954589844</v>
      </c>
      <c r="AC5">
        <v>308.4579162597656</v>
      </c>
      <c r="AD5">
        <v>312.1038208007812</v>
      </c>
      <c r="AE5">
        <v>313.5880737304688</v>
      </c>
      <c r="AF5">
        <v>309.7230529785156</v>
      </c>
      <c r="AG5">
        <v>304.0848388671875</v>
      </c>
      <c r="AH5">
        <v>301.33544921875</v>
      </c>
      <c r="AI5">
        <v>303.756103515625</v>
      </c>
      <c r="AJ5">
        <v>297.7294006347656</v>
      </c>
      <c r="AK5">
        <v>300.1600036621094</v>
      </c>
      <c r="AL5">
        <v>310.5099792480469</v>
      </c>
      <c r="AM5">
        <v>312.8999938964844</v>
      </c>
      <c r="AN5">
        <v>307.5400085449219</v>
      </c>
      <c r="AO5">
        <v>308.7300109863281</v>
      </c>
      <c r="AP5">
        <v>302.3900146484375</v>
      </c>
      <c r="AQ5">
        <v>302.989990234375</v>
      </c>
      <c r="AR5">
        <v>298.3099975585938</v>
      </c>
      <c r="AS5">
        <v>314.9500122070312</v>
      </c>
      <c r="AT5">
        <v>323.9200134277344</v>
      </c>
      <c r="AU5">
        <v>330.2099914550781</v>
      </c>
      <c r="AV5">
        <v>342.9200134277344</v>
      </c>
      <c r="AW5">
        <v>341.6700134277344</v>
      </c>
      <c r="AX5">
        <v>347.1900024414062</v>
      </c>
      <c r="AY5">
        <v>350.0499877929688</v>
      </c>
      <c r="AZ5">
        <v>346.260009765625</v>
      </c>
      <c r="BA5">
        <v>341.510009765625</v>
      </c>
      <c r="BB5">
        <v>348.8599853515625</v>
      </c>
      <c r="BC5">
        <v>346</v>
      </c>
      <c r="BD5">
        <v>340.4100036621094</v>
      </c>
      <c r="BE5">
        <v>348.0299987792969</v>
      </c>
      <c r="BF5">
        <v>346.5899963378906</v>
      </c>
      <c r="BG5">
        <v>358.9200134277344</v>
      </c>
      <c r="BH5">
        <v>361.989990234375</v>
      </c>
    </row>
    <row r="6" spans="1:61">
      <c r="A6" t="s">
        <v>5</v>
      </c>
      <c r="B6">
        <v>265.4432067871094</v>
      </c>
      <c r="C6">
        <v>257.445068359375</v>
      </c>
      <c r="D6">
        <v>262.5610656738281</v>
      </c>
      <c r="E6">
        <v>260.0978088378906</v>
      </c>
      <c r="F6">
        <v>262.8602294921875</v>
      </c>
      <c r="G6">
        <v>250.1749877929688</v>
      </c>
      <c r="H6">
        <v>249.7860565185547</v>
      </c>
      <c r="I6">
        <v>243.9420471191406</v>
      </c>
      <c r="J6">
        <v>242.2467041015625</v>
      </c>
      <c r="K6">
        <v>246.6147308349609</v>
      </c>
      <c r="L6">
        <v>247.8413848876953</v>
      </c>
      <c r="M6">
        <v>245.8368530273438</v>
      </c>
      <c r="N6">
        <v>252.8676147460938</v>
      </c>
      <c r="O6">
        <v>253.3662414550781</v>
      </c>
      <c r="P6">
        <v>258.5121459960938</v>
      </c>
      <c r="Q6">
        <v>254.9718475341797</v>
      </c>
      <c r="R6">
        <v>264.146728515625</v>
      </c>
      <c r="S6">
        <v>265.6226806640625</v>
      </c>
      <c r="T6">
        <v>268.2554626464844</v>
      </c>
      <c r="U6">
        <v>265.6027221679688</v>
      </c>
      <c r="V6">
        <v>279.9135437011719</v>
      </c>
      <c r="W6">
        <v>282.5263977050781</v>
      </c>
      <c r="X6">
        <v>282.9651794433594</v>
      </c>
      <c r="Y6">
        <v>296.0693359375</v>
      </c>
      <c r="Z6">
        <v>302.5715026855469</v>
      </c>
      <c r="AA6">
        <v>298.363037109375</v>
      </c>
      <c r="AB6">
        <v>305.0148315429688</v>
      </c>
      <c r="AC6">
        <v>311.7463989257812</v>
      </c>
      <c r="AD6">
        <v>314.4490051269531</v>
      </c>
      <c r="AE6">
        <v>318.8868408203125</v>
      </c>
      <c r="AF6">
        <v>314.9576110839844</v>
      </c>
      <c r="AG6">
        <v>311.4172973632812</v>
      </c>
      <c r="AH6">
        <v>308.3955688476562</v>
      </c>
      <c r="AI6">
        <v>311.4970703125</v>
      </c>
      <c r="AJ6">
        <v>305.2142639160156</v>
      </c>
      <c r="AK6">
        <v>307.8769836425781</v>
      </c>
      <c r="AL6">
        <v>313.2223510742188</v>
      </c>
      <c r="AM6">
        <v>315.6058349609375</v>
      </c>
      <c r="AN6">
        <v>306.1915893554688</v>
      </c>
      <c r="AO6">
        <v>311.75634765625</v>
      </c>
      <c r="AP6">
        <v>296.9369506835938</v>
      </c>
      <c r="AQ6">
        <v>298.432861328125</v>
      </c>
      <c r="AR6">
        <v>297.3857421875</v>
      </c>
      <c r="AS6">
        <v>319.4453125</v>
      </c>
      <c r="AT6">
        <v>335.5013732910156</v>
      </c>
      <c r="AU6">
        <v>347.2990417480469</v>
      </c>
      <c r="AV6">
        <v>355.3968811035156</v>
      </c>
      <c r="AW6">
        <v>354.4494934082031</v>
      </c>
      <c r="AX6">
        <v>357.2019348144531</v>
      </c>
      <c r="AY6">
        <v>365.2099914550781</v>
      </c>
      <c r="AZ6">
        <v>360.75</v>
      </c>
      <c r="BA6">
        <v>358.2300109863281</v>
      </c>
      <c r="BB6">
        <v>360.7200012207031</v>
      </c>
      <c r="BC6">
        <v>362.5199890136719</v>
      </c>
      <c r="BD6">
        <v>354.8800048828125</v>
      </c>
      <c r="BE6">
        <v>362.2699890136719</v>
      </c>
      <c r="BF6">
        <v>363.5400085449219</v>
      </c>
      <c r="BG6">
        <v>373.3200073242188</v>
      </c>
      <c r="BH6">
        <v>383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Сводка</vt:lpstr>
      <vt:lpstr>Позиции</vt:lpstr>
      <vt:lpstr>Сделки</vt:lpstr>
      <vt:lpstr>Капитал</vt:lpstr>
      <vt:lpstr>Скрин</vt:lpstr>
      <vt:lpstr>Факторы</vt:lpstr>
      <vt:lpstr>Инфо</vt:lpstr>
      <vt:lpstr>_данные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S&amp;P 500 Screener — бумажный портфель</dc:title>
  <dc:creator>sp500-screener (GitHub Actions)</dc:creator>
  <dc:description>Автоматический отчёт. Все сделки виртуальные.</dc:description>
  <cp:lastModifiedBy>sp500-screener (GitHub Actions)</cp:lastModifiedBy>
  <dcterms:created xsi:type="dcterms:W3CDTF">2026-09-02T09:55:05Z</dcterms:created>
  <dcterms:modified xsi:type="dcterms:W3CDTF">2026-09-02T09:55:05Z</dcterms:modified>
</cp:coreProperties>
</file>