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Позиции!$A$4:$P$10</definedName>
    <definedName name="_xlnm._FilterDatabase" localSheetId="4" hidden="1">Скрин!$A$4:$S$44</definedName>
  </definedNames>
  <calcPr calcId="124519" fullCalcOnLoad="1"/>
</workbook>
</file>

<file path=xl/sharedStrings.xml><?xml version="1.0" encoding="utf-8"?>
<sst xmlns="http://schemas.openxmlformats.org/spreadsheetml/2006/main" count="368" uniqueCount="234">
  <si>
    <t>DELL</t>
  </si>
  <si>
    <t>MU</t>
  </si>
  <si>
    <t>SNDK</t>
  </si>
  <si>
    <t>WDC</t>
  </si>
  <si>
    <t>VLO</t>
  </si>
  <si>
    <t>MPC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</si>
  <si>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</si>
  <si>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</si>
  <si>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</si>
  <si>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</si>
  <si>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</si>
  <si>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</si>
  <si>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</si>
  <si>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</si>
  <si>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</si>
  <si>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</si>
  <si>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</si>
  <si>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</si>
  <si>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</si>
  <si>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</si>
  <si>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</si>
  <si>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</si>
  <si>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</si>
  <si>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</si>
  <si>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</si>
  <si>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</si>
  <si>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</si>
  <si>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</si>
  <si>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</si>
  <si>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</si>
  <si>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</si>
  <si>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</si>
  <si>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</si>
  <si>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</si>
  <si>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</si>
  <si>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</si>
  <si>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</si>
  <si>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</si>
  <si>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</si>
  <si>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</si>
  <si>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</si>
  <si>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</si>
  <si>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</si>
  <si>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</si>
  <si>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</si>
  <si>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</si>
  <si>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</si>
  <si>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</si>
  <si>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</si>
  <si>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</si>
  <si>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</si>
  <si>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</si>
  <si>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</si>
  <si>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</si>
  <si>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</si>
  <si>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</si>
  <si>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</si>
  <si>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</si>
  <si>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</si>
  <si>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</si>
  <si>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</si>
  <si>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</si>
  <si>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</si>
  <si>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</si>
  <si>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</si>
  <si>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</si>
  <si>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</si>
  <si>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</si>
  <si>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</si>
  <si>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</si>
  <si>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</si>
  <si>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</si>
  <si>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</si>
  <si>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</si>
  <si>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</si>
  <si>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</si>
  <si>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</si>
  <si>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OXY</t>
  </si>
  <si>
    <t>Occidental Petroleum</t>
  </si>
  <si>
    <t>PSX</t>
  </si>
  <si>
    <t>Phillips 66</t>
  </si>
  <si>
    <t>APA</t>
  </si>
  <si>
    <t>APA Corporation</t>
  </si>
  <si>
    <t>NVDA</t>
  </si>
  <si>
    <t>Nvidia</t>
  </si>
  <si>
    <t>COF</t>
  </si>
  <si>
    <t>Capital One</t>
  </si>
  <si>
    <t>Financials</t>
  </si>
  <si>
    <t>EOG</t>
  </si>
  <si>
    <t>EOG Resources</t>
  </si>
  <si>
    <t>EXPE</t>
  </si>
  <si>
    <t>Expedia Group</t>
  </si>
  <si>
    <t>Consumer Discretionary</t>
  </si>
  <si>
    <t>ALL</t>
  </si>
  <si>
    <t>Allstate</t>
  </si>
  <si>
    <t>INCY</t>
  </si>
  <si>
    <t>Incyte</t>
  </si>
  <si>
    <t>Health Care</t>
  </si>
  <si>
    <t>SCHW</t>
  </si>
  <si>
    <t>Charles Schwab Corporation</t>
  </si>
  <si>
    <t>BMY</t>
  </si>
  <si>
    <t>Bristol Myers Squibb</t>
  </si>
  <si>
    <t>CVX</t>
  </si>
  <si>
    <t>Chevron Corporation</t>
  </si>
  <si>
    <t>FANG</t>
  </si>
  <si>
    <t>Diamondback Energy</t>
  </si>
  <si>
    <t>NTAP</t>
  </si>
  <si>
    <t>NetApp</t>
  </si>
  <si>
    <t>HPE</t>
  </si>
  <si>
    <t>Hewlett Packard Enterprise</t>
  </si>
  <si>
    <t>WAT</t>
  </si>
  <si>
    <t>Waters Corporation</t>
  </si>
  <si>
    <t>HAS</t>
  </si>
  <si>
    <t>Hasbro</t>
  </si>
  <si>
    <t>CF</t>
  </si>
  <si>
    <t>CF Industries</t>
  </si>
  <si>
    <t>Materials</t>
  </si>
  <si>
    <t>AMGN</t>
  </si>
  <si>
    <t>Amgen</t>
  </si>
  <si>
    <t>MO</t>
  </si>
  <si>
    <t>Altria</t>
  </si>
  <si>
    <t>Consumer Staples</t>
  </si>
  <si>
    <t>TRV</t>
  </si>
  <si>
    <t>Travelers Companies (The)</t>
  </si>
  <si>
    <t>MA</t>
  </si>
  <si>
    <t>Mastercard</t>
  </si>
  <si>
    <t>CPAY</t>
  </si>
  <si>
    <t>Corpay</t>
  </si>
  <si>
    <t>GEN</t>
  </si>
  <si>
    <t>Gen Digital</t>
  </si>
  <si>
    <t>RJF</t>
  </si>
  <si>
    <t>Raymond James Financial</t>
  </si>
  <si>
    <t>MS</t>
  </si>
  <si>
    <t>Morgan Stanley</t>
  </si>
  <si>
    <t>V</t>
  </si>
  <si>
    <t>Visa Inc.</t>
  </si>
  <si>
    <t>AMP</t>
  </si>
  <si>
    <t>Ameriprise Financial</t>
  </si>
  <si>
    <t>FTNT</t>
  </si>
  <si>
    <t>Fortinet</t>
  </si>
  <si>
    <t>COP</t>
  </si>
  <si>
    <t>ConocoPhillips</t>
  </si>
  <si>
    <t>TGT</t>
  </si>
  <si>
    <t>Target Corporation</t>
  </si>
  <si>
    <t>NEM</t>
  </si>
  <si>
    <t>Newmont</t>
  </si>
  <si>
    <t>HUM</t>
  </si>
  <si>
    <t>Humana</t>
  </si>
  <si>
    <t>GS</t>
  </si>
  <si>
    <t>Goldman Sachs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</si>
  <si>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</si>
  <si>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</si>
  <si>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</si>
  <si>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</si>
  <si>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</si>
  <si>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</si>
  <si>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</si>
  <si>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</si>
  <si>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</si>
  <si>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</si>
  <si>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</si>
  <si>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</si>
  <si>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</si>
  <si>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rsi_centered, dist_52w_high</t>
  </si>
  <si>
    <t>earnings</t>
  </si>
  <si>
    <t>earnings_surprise_pct</t>
  </si>
  <si>
    <t>risk</t>
  </si>
  <si>
    <t>volatility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</si>
  <si>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</si>
  <si>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</si>
  <si>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</si>
  <si>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</si>
  <si>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</si>
  <si>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</si>
  <si>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2026-09-02 08:31 UTC · данные на 2026-09-01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</si>
  <si>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</si>
  <si>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</si>
  <si>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</si>
  <si>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</si>
  <si>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</si>
  <si>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</si>
  <si>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</si>
  <si>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</si>
  <si>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</si>
  <si>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</si>
  <si>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</si>
  <si>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</si>
  <si>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</si>
  <si>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</si>
  <si>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</si>
  <si>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</si>
  <si>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</si>
  <si>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</si>
  <si>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</si>
  <si>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</si>
  <si>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</si>
  <si>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</si>
  <si>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</si>
  <si>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</si>
  <si>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</si>
  <si>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</si>
  <si>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2026-09-02 08:31 UTC</t>
  </si>
  <si>
    <t>Дата данных</t>
  </si>
  <si>
    <t>Тикеров во вселенной</t>
  </si>
  <si>
    <t>503</t>
  </si>
  <si>
    <t>Прошли фильтры</t>
  </si>
  <si>
    <t>414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</si>
  <si>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</si>
  <si>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</si>
  <si>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</si>
  <si>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</si>
  <si>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</si>
  <si>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4</t>
  </si>
  <si>
    <t>Источник цен</t>
  </si>
  <si>
    <t>yfinance</t>
  </si>
  <si>
    <t>Фундаментал на дату</t>
  </si>
  <si>
    <t>2026-08-30</t>
  </si>
  <si>
    <t>Версия состояния</t>
  </si>
  <si>
    <t>2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</si>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</sst>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2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0" fontId="4" fillId="0" borderId="0" xfId="0" applyFont="1"/>
    <xf numFmtId="0" fontId="6" fillId="0" borderId="1" xfId="0" applyFont="1" applyBorder="1"/>
    <xf numFmtId="0" fontId="7" fillId="0" borderId="2" xfId="0" applyFont="1" applyBorder="1" applyAlignment="1">
      <alignment horizontal="left"/>
    </xf>
    <xf numFmtId="164" fontId="7" fillId="0" borderId="2" xfId="0" applyNumberFormat="1" applyFont="1" applyBorder="1"/>
    <xf numFmtId="1" fontId="7" fillId="0" borderId="2" xfId="0" applyNumberFormat="1" applyFont="1" applyBorder="1"/>
    <xf numFmtId="165" fontId="7" fillId="0" borderId="2" xfId="0" applyNumberFormat="1" applyFont="1" applyBorder="1"/>
    <xf numFmtId="0" fontId="8" fillId="0" borderId="0" xfId="0" applyFont="1"/>
    <xf numFmtId="0" fontId="3" fillId="0" borderId="0" xfId="0" applyFont="1" applyAlignment="1">
      <alignment vertical="top" wrapText="1"/>
    </xf>
    <xf numFmtId="0" fontId="9" fillId="2" borderId="3" xfId="0" applyFont="1" applyFill="1" applyBorder="1" applyAlignment="1">
      <alignment horizontal="center" vertical="center" wrapText="1"/>
    </xf>
    <xf numFmtId="166" fontId="7" fillId="0" borderId="2" xfId="0" applyNumberFormat="1" applyFont="1" applyBorder="1" applyAlignment="1">
      <alignment horizontal="center"/>
    </xf>
    <xf numFmtId="167" fontId="7" fillId="0" borderId="2" xfId="0" applyNumberFormat="1" applyFont="1" applyBorder="1"/>
    <xf numFmtId="164" fontId="10" fillId="3" borderId="2" xfId="0" applyNumberFormat="1" applyFont="1" applyFill="1" applyBorder="1"/>
    <xf numFmtId="168" fontId="7" fillId="0" borderId="2" xfId="0" applyNumberFormat="1" applyFont="1" applyBorder="1"/>
    <xf numFmtId="169" fontId="7" fillId="0" borderId="2" xfId="0" applyNumberFormat="1" applyFont="1" applyBorder="1"/>
    <xf numFmtId="0" fontId="11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Information Technology</c:v>
                </c:pt>
                <c:pt idx="1">
                  <c:v>Energy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1875</c:v>
                </c:pt>
                <c:pt idx="1">
                  <c:v>958.12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Капитал!$A$5:$A$11</c:f>
              <c:strCache>
                <c:ptCount val="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</c:strCache>
            </c:strRef>
          </c:cat>
          <c:val>
            <c:numRef>
              <c:f>Капитал!$D$5:$D$11</c:f>
              <c:numCache>
                <c:formatCode>General</c:formatCode>
                <c:ptCount val="7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Капитал!$A$5:$A$11</c:f>
              <c:strCache>
                <c:ptCount val="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</c:strCache>
            </c:strRef>
          </c:cat>
          <c:val>
            <c:numRef>
              <c:f>Капитал!$F$5:$F$11</c:f>
              <c:numCache>
                <c:formatCode>General</c:formatCode>
                <c:ptCount val="7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Капитал!$A$5:$A$11</c:f>
              <c:strCache>
                <c:ptCount val="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</c:strCache>
            </c:strRef>
          </c:cat>
          <c:val>
            <c:numRef>
              <c:f>Капитал!$D$5:$D$11</c:f>
              <c:numCache>
                <c:formatCode>General</c:formatCode>
                <c:ptCount val="7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Капитал!$A$5:$A$11</c:f>
              <c:strCache>
                <c:ptCount val="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</c:strCache>
            </c:strRef>
          </c:cat>
          <c:val>
            <c:numRef>
              <c:f>Капитал!$F$5:$F$11</c:f>
              <c:numCache>
                <c:formatCode>General</c:formatCode>
                <c:ptCount val="7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173</v>
      </c>
    </row>
    <row r="3" spans="2:8">
      <c r="B3" s="2" t="s">
        <v>174</v>
      </c>
    </row>
    <row r="5" spans="2:8">
      <c r="B5" s="3" t="s">
        <v>55</v>
      </c>
      <c r="D5" s="3" t="s">
        <v>175</v>
      </c>
      <c r="F5" s="3" t="s">
        <v>176</v>
      </c>
      <c r="H5" s="3" t="s">
        <v>177</v>
      </c>
    </row>
    <row r="6" spans="2:8">
      <c r="B6" s="4">
        <v>9972.669999999998</v>
      </c>
      <c r="D6" s="5">
        <v>-0.002733000000000207</v>
      </c>
      <c r="F6" s="5">
        <v>-0.002213999999999938</v>
      </c>
      <c r="H6" s="5">
        <v>-0.005570108480505209</v>
      </c>
    </row>
    <row r="8" spans="2:8">
      <c r="B8" s="3" t="s">
        <v>178</v>
      </c>
      <c r="D8" s="3" t="s">
        <v>179</v>
      </c>
      <c r="F8" s="3" t="s">
        <v>180</v>
      </c>
      <c r="H8" s="3" t="s">
        <v>182</v>
      </c>
    </row>
    <row r="9" spans="2:8">
      <c r="B9" s="6">
        <v>-2.743637704961072</v>
      </c>
      <c r="D9" s="6">
        <v>0</v>
      </c>
      <c r="F9" s="6" t="s">
        <v>181</v>
      </c>
      <c r="H9" s="6">
        <v>6</v>
      </c>
    </row>
    <row r="12" spans="2:8">
      <c r="B12" s="7" t="s">
        <v>183</v>
      </c>
    </row>
    <row r="13" spans="2:8">
      <c r="B13" s="8" t="s">
        <v>53</v>
      </c>
      <c r="C13" s="9">
        <v>7139.549999999999</v>
      </c>
    </row>
    <row r="14" spans="2:8">
      <c r="B14" s="8" t="s">
        <v>54</v>
      </c>
      <c r="C14" s="9">
        <v>2833.12</v>
      </c>
    </row>
    <row r="15" spans="2:8">
      <c r="B15" s="8" t="s">
        <v>55</v>
      </c>
      <c r="C15" s="9">
        <v>9972.669999999998</v>
      </c>
    </row>
    <row r="16" spans="2:8">
      <c r="B16" s="8" t="s">
        <v>184</v>
      </c>
      <c r="C16" s="9">
        <v>10000</v>
      </c>
    </row>
    <row r="17" spans="1:3">
      <c r="B17" s="8" t="s">
        <v>185</v>
      </c>
      <c r="C17" s="10">
        <v>21</v>
      </c>
    </row>
    <row r="18" spans="1:3">
      <c r="B18" s="8" t="s">
        <v>186</v>
      </c>
      <c r="C18" s="10">
        <v>14</v>
      </c>
    </row>
    <row r="19" spans="1:3">
      <c r="B19" s="8" t="s">
        <v>187</v>
      </c>
      <c r="C19" s="10">
        <v>1</v>
      </c>
    </row>
    <row r="20" spans="1:3">
      <c r="B20" s="8" t="s">
        <v>188</v>
      </c>
      <c r="C20" s="10">
        <v>21</v>
      </c>
    </row>
    <row r="21" spans="1:3">
      <c r="B21" s="8" t="s">
        <v>189</v>
      </c>
      <c r="C21" s="8" t="s">
        <v>181</v>
      </c>
    </row>
    <row r="22" spans="1:3">
      <c r="B22" s="8" t="s">
        <v>190</v>
      </c>
      <c r="C22" s="8" t="s">
        <v>181</v>
      </c>
    </row>
    <row r="23" spans="1:3">
      <c r="B23" s="8" t="s">
        <v>191</v>
      </c>
      <c r="C23" s="8" t="s">
        <v>181</v>
      </c>
    </row>
    <row r="24" spans="1:3">
      <c r="B24" s="8" t="s">
        <v>192</v>
      </c>
      <c r="C24" s="8" t="s">
        <v>181</v>
      </c>
    </row>
    <row r="25" spans="1:3">
      <c r="B25" s="8" t="s">
        <v>193</v>
      </c>
      <c r="C25" s="11">
        <v>0.04156959301664937</v>
      </c>
    </row>
    <row r="26" spans="1:3">
      <c r="B26" s="8" t="s">
        <v>194</v>
      </c>
      <c r="C26" s="10">
        <v>7</v>
      </c>
    </row>
    <row r="28" spans="1:3">
      <c r="B28" s="12" t="s">
        <v>195</v>
      </c>
      <c r="C28" s="9">
        <f>C13+IFERROR(SUM('Позиции'!I5:I200),0)</f>
        <v>9972.669999999998</v>
      </c>
    </row>
    <row r="29" spans="1:3">
      <c r="B29" s="13" t="s">
        <v>196</v>
      </c>
    </row>
    <row r="31" spans="1:3">
      <c r="B31" s="7" t="s">
        <v>197</v>
      </c>
    </row>
    <row r="32" spans="1:3" ht="30" customHeight="1">
      <c r="A32" s="14" t="s">
        <v>10</v>
      </c>
      <c r="B32" s="14" t="s">
        <v>16</v>
      </c>
    </row>
    <row r="33" spans="2:3">
      <c r="B33" s="8" t="s">
        <v>25</v>
      </c>
      <c r="C33" s="9">
        <v>1875</v>
      </c>
    </row>
    <row r="34" spans="2:3">
      <c r="B34" s="8" t="s">
        <v>35</v>
      </c>
      <c r="C34" s="9">
        <v>958.12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6</v>
      </c>
    </row>
    <row r="2" spans="1:16" x14ac:dyDescent="0.25">
      <c r="A2" s="2" t="s">
        <v>7</v>
      </c>
    </row>
    <row r="4" spans="1:16" ht="30" customHeight="1" x14ac:dyDescent="0.25">
      <c r="A4" s="14" t="s">
        <v>8</v>
      </c>
      <c r="B4" s="14" t="s">
        <v>9</v>
      </c>
      <c r="C4" s="14" t="s">
        <v>10</v>
      </c>
      <c r="D4" s="14" t="s">
        <v>11</v>
      </c>
      <c r="E4" s="14" t="s">
        <v>12</v>
      </c>
      <c r="F4" s="14" t="s">
        <v>13</v>
      </c>
      <c r="G4" s="14" t="s">
        <v>14</v>
      </c>
      <c r="H4" s="14" t="s">
        <v>15</v>
      </c>
      <c r="I4" s="14" t="s">
        <v>16</v>
      </c>
      <c r="J4" s="14" t="s">
        <v>17</v>
      </c>
      <c r="K4" s="14" t="s">
        <v>18</v>
      </c>
      <c r="L4" s="14" t="s">
        <v>19</v>
      </c>
      <c r="M4" s="14" t="s">
        <v>20</v>
      </c>
      <c r="N4" s="14" t="s">
        <v>21</v>
      </c>
      <c r="O4" s="14" t="s">
        <v>22</v>
      </c>
      <c r="P4" s="14" t="s">
        <v>23</v>
      </c>
    </row>
    <row r="5" spans="1:16" x14ac:dyDescent="0.25">
      <c r="A5" s="8" t="s">
        <v>0</v>
      </c>
      <c r="B5" s="8" t="s">
        <v>24</v>
      </c>
      <c r="C5" s="8" t="s">
        <v>25</v>
      </c>
      <c r="D5" s="15" t="s">
        <v>26</v>
      </c>
      <c r="E5" s="9">
        <v>443.1115</v>
      </c>
      <c r="F5" s="16">
        <v>1.074651</v>
      </c>
      <c r="G5" s="9">
        <v>476.19</v>
      </c>
      <c r="H5" s="17">
        <v>425</v>
      </c>
      <c r="I5" s="9">
        <f>F5*H5</f>
        <v>456.726675</v>
      </c>
      <c r="J5" s="9">
        <f>I5-G5</f>
        <v>-19.463324999999998</v>
      </c>
      <c r="K5" s="18">
        <f>IFERROR(J5/G5,0)</f>
        <v>-0.04087302337302337</v>
      </c>
      <c r="L5" s="10">
        <v>5</v>
      </c>
      <c r="M5" s="10">
        <f>MAX(0,21-L5)</f>
        <v>16</v>
      </c>
      <c r="N5" s="19">
        <v>2.927623067210654</v>
      </c>
      <c r="O5" s="8" t="s">
        <v>27</v>
      </c>
    </row>
    <row r="6" spans="1:16" x14ac:dyDescent="0.25">
      <c r="A6" s="8" t="s">
        <v>1</v>
      </c>
      <c r="B6" s="8" t="s">
        <v>28</v>
      </c>
      <c r="C6" s="8" t="s">
        <v>25</v>
      </c>
      <c r="D6" s="15" t="s">
        <v>29</v>
      </c>
      <c r="E6" s="9">
        <v>926.2029</v>
      </c>
      <c r="F6" s="16">
        <v>0.5145960000000001</v>
      </c>
      <c r="G6" s="9">
        <v>476.62</v>
      </c>
      <c r="H6" s="17">
        <v>933.4400000000001</v>
      </c>
      <c r="I6" s="9">
        <f>F6*H6</f>
        <v>480.3444902400001</v>
      </c>
      <c r="J6" s="9">
        <f>I6-G6</f>
        <v>3.7244902400000797</v>
      </c>
      <c r="K6" s="18">
        <f>IFERROR(J6/G6,0)</f>
        <v>0.007814380932399143</v>
      </c>
      <c r="L6" s="10">
        <v>4</v>
      </c>
      <c r="M6" s="10">
        <f>MAX(0,21-L6)</f>
        <v>17</v>
      </c>
      <c r="N6" s="19">
        <v>1.809956883354321</v>
      </c>
      <c r="O6" s="8" t="s">
        <v>27</v>
      </c>
    </row>
    <row r="7" spans="1:16" x14ac:dyDescent="0.25">
      <c r="A7" s="8" t="s">
        <v>2</v>
      </c>
      <c r="B7" s="8" t="s">
        <v>30</v>
      </c>
      <c r="C7" s="8" t="s">
        <v>25</v>
      </c>
      <c r="D7" s="15" t="s">
        <v>31</v>
      </c>
      <c r="E7" s="9">
        <v>1550.1948</v>
      </c>
      <c r="F7" s="16">
        <v>0.308058</v>
      </c>
      <c r="G7" s="9">
        <v>477.55</v>
      </c>
      <c r="H7" s="17">
        <v>1536.87</v>
      </c>
      <c r="I7" s="9">
        <f>F7*H7</f>
        <v>473.44509845999994</v>
      </c>
      <c r="J7" s="9">
        <f>I7-G7</f>
        <v>-4.104901540000071</v>
      </c>
      <c r="K7" s="18">
        <f>IFERROR(J7/G7,0)</f>
        <v>-0.008595752361009467</v>
      </c>
      <c r="L7" s="10">
        <v>3</v>
      </c>
      <c r="M7" s="10">
        <f>MAX(0,21-L7)</f>
        <v>18</v>
      </c>
      <c r="N7" s="19">
        <v>1.655247920227722</v>
      </c>
      <c r="O7" s="8" t="s">
        <v>27</v>
      </c>
    </row>
    <row r="8" spans="1:16" x14ac:dyDescent="0.25">
      <c r="A8" s="8" t="s">
        <v>3</v>
      </c>
      <c r="B8" s="8" t="s">
        <v>32</v>
      </c>
      <c r="C8" s="8" t="s">
        <v>25</v>
      </c>
      <c r="D8" s="15" t="s">
        <v>33</v>
      </c>
      <c r="E8" s="9">
        <v>462.5311</v>
      </c>
      <c r="F8" s="16">
        <v>1.031174</v>
      </c>
      <c r="G8" s="9">
        <v>476.95</v>
      </c>
      <c r="H8" s="17">
        <v>450.44</v>
      </c>
      <c r="I8" s="9">
        <f>F8*H8</f>
        <v>464.48201656000003</v>
      </c>
      <c r="J8" s="9">
        <f>I8-G8</f>
        <v>-12.467983439999955</v>
      </c>
      <c r="K8" s="18">
        <f>IFERROR(J8/G8,0)</f>
        <v>-0.026141070217003785</v>
      </c>
      <c r="L8" s="10">
        <v>2</v>
      </c>
      <c r="M8" s="10">
        <f>MAX(0,21-L8)</f>
        <v>19</v>
      </c>
      <c r="N8" s="19">
        <v>1.135451734784544</v>
      </c>
      <c r="O8" s="8" t="s">
        <v>27</v>
      </c>
    </row>
    <row r="9" spans="1:16" x14ac:dyDescent="0.25">
      <c r="A9" s="8" t="s">
        <v>4</v>
      </c>
      <c r="B9" s="8" t="s">
        <v>34</v>
      </c>
      <c r="C9" s="8" t="s">
        <v>35</v>
      </c>
      <c r="D9" s="15" t="s">
        <v>36</v>
      </c>
      <c r="E9" s="9">
        <v>360.14</v>
      </c>
      <c r="F9" s="16">
        <v>1.321486</v>
      </c>
      <c r="G9" s="9">
        <v>475.92</v>
      </c>
      <c r="H9" s="17">
        <v>361.99</v>
      </c>
      <c r="I9" s="9">
        <f>F9*H9</f>
        <v>478.36471714</v>
      </c>
      <c r="J9" s="9">
        <f>I9-G9</f>
        <v>2.444717139999966</v>
      </c>
      <c r="K9" s="18">
        <f>IFERROR(J9/G9,0)</f>
        <v>0.005136823709867133</v>
      </c>
      <c r="L9" s="10">
        <v>1</v>
      </c>
      <c r="M9" s="10">
        <f>MAX(0,21-L9)</f>
        <v>20</v>
      </c>
      <c r="N9" s="19">
        <v>1.098454348098604</v>
      </c>
      <c r="O9" s="8" t="s">
        <v>27</v>
      </c>
    </row>
    <row r="10" spans="1:16" x14ac:dyDescent="0.25">
      <c r="A10" s="8" t="s">
        <v>5</v>
      </c>
      <c r="B10" s="8" t="s">
        <v>37</v>
      </c>
      <c r="C10" s="8" t="s">
        <v>35</v>
      </c>
      <c r="D10" s="15" t="s">
        <v>38</v>
      </c>
      <c r="E10" s="9">
        <v>380.9704</v>
      </c>
      <c r="F10" s="16">
        <v>1.252643</v>
      </c>
      <c r="G10" s="9">
        <v>477.22</v>
      </c>
      <c r="H10" s="17">
        <v>383</v>
      </c>
      <c r="I10" s="9">
        <f>F10*H10</f>
        <v>479.762269</v>
      </c>
      <c r="J10" s="9">
        <f>I10-G10</f>
        <v>2.542268999999976</v>
      </c>
      <c r="K10" s="18">
        <f>IFERROR(J10/G10,0)</f>
        <v>0.005327247391140304</v>
      </c>
      <c r="L10" s="10">
        <v>0</v>
      </c>
      <c r="M10" s="10">
        <f>MAX(0,21-L10)</f>
        <v>21</v>
      </c>
      <c r="N10" s="19">
        <v>0.9280120270881818</v>
      </c>
      <c r="O10" s="8" t="s">
        <v>27</v>
      </c>
    </row>
    <row r="11" spans="1:16" x14ac:dyDescent="0.25">
      <c r="F11" s="12" t="s">
        <v>39</v>
      </c>
      <c r="G11" s="9">
        <f>SUM(G5:G10)</f>
        <v>2860.45</v>
      </c>
      <c r="I11" s="9">
        <f>SUM(I5:I10)</f>
        <v>2833.12</v>
      </c>
      <c r="J11" s="9">
        <f>SUM(J5:J10)</f>
        <v>-27.33000000000004</v>
      </c>
      <c r="K11" s="18">
        <f>IFERROR(J11/G11,0)</f>
        <v>0</v>
      </c>
    </row>
  </sheetData>
  <autoFilter ref="A4:P10"/>
  <conditionalFormatting sqref="K5:K10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0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40</v>
      </c>
    </row>
    <row r="2" spans="1:15">
      <c r="A2" s="2" t="s">
        <v>41</v>
      </c>
    </row>
    <row r="4" spans="1:15" ht="30" customHeight="1">
      <c r="A4" s="14" t="s">
        <v>42</v>
      </c>
      <c r="B4" s="14" t="s">
        <v>8</v>
      </c>
      <c r="C4" s="14" t="s">
        <v>10</v>
      </c>
      <c r="D4" s="14" t="s">
        <v>43</v>
      </c>
      <c r="E4" s="14" t="s">
        <v>12</v>
      </c>
      <c r="F4" s="14" t="s">
        <v>44</v>
      </c>
      <c r="G4" s="14" t="s">
        <v>45</v>
      </c>
      <c r="H4" s="14" t="s">
        <v>13</v>
      </c>
      <c r="I4" s="14" t="s">
        <v>14</v>
      </c>
      <c r="J4" s="14" t="s">
        <v>46</v>
      </c>
      <c r="K4" s="14" t="s">
        <v>17</v>
      </c>
      <c r="L4" s="14" t="s">
        <v>18</v>
      </c>
      <c r="M4" s="14" t="s">
        <v>47</v>
      </c>
      <c r="N4" s="14" t="s">
        <v>21</v>
      </c>
      <c r="O4" s="14" t="s">
        <v>48</v>
      </c>
    </row>
    <row r="5" spans="1:15">
      <c r="A5" s="13" t="s">
        <v>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50</v>
      </c>
    </row>
    <row r="2" spans="1:6">
      <c r="A2" s="2" t="s">
        <v>51</v>
      </c>
    </row>
    <row r="4" spans="1:6" ht="30" customHeight="1">
      <c r="A4" s="14" t="s">
        <v>52</v>
      </c>
      <c r="B4" s="14" t="s">
        <v>53</v>
      </c>
      <c r="C4" s="14" t="s">
        <v>54</v>
      </c>
      <c r="D4" s="14" t="s">
        <v>55</v>
      </c>
      <c r="E4" s="14" t="s">
        <v>56</v>
      </c>
      <c r="F4" s="14" t="s">
        <v>57</v>
      </c>
    </row>
    <row r="5" spans="1:6">
      <c r="A5" s="15" t="s">
        <v>58</v>
      </c>
      <c r="B5" s="9">
        <v>10000</v>
      </c>
      <c r="C5" s="9">
        <v>0</v>
      </c>
      <c r="D5" s="9">
        <f>B5+C5</f>
        <v>10000.0</v>
      </c>
      <c r="E5" s="10">
        <v>0</v>
      </c>
      <c r="F5" s="9">
        <v>10000</v>
      </c>
    </row>
    <row r="6" spans="1:6">
      <c r="A6" s="15" t="s">
        <v>26</v>
      </c>
      <c r="B6" s="9">
        <v>9523.809999999999</v>
      </c>
      <c r="C6" s="9">
        <v>485.2</v>
      </c>
      <c r="D6" s="9">
        <f>B6+C6</f>
        <v>10009.01</v>
      </c>
      <c r="E6" s="10">
        <v>1</v>
      </c>
      <c r="F6" s="9">
        <v>10031.96</v>
      </c>
    </row>
    <row r="7" spans="1:6">
      <c r="A7" s="15" t="s">
        <v>29</v>
      </c>
      <c r="B7" s="9">
        <v>9047.190000000001</v>
      </c>
      <c r="C7" s="9">
        <v>981.34</v>
      </c>
      <c r="D7" s="9">
        <f>B7+C7</f>
        <v>10028.53</v>
      </c>
      <c r="E7" s="10">
        <v>2</v>
      </c>
      <c r="F7" s="9">
        <v>10034.19</v>
      </c>
    </row>
    <row r="8" spans="1:6">
      <c r="A8" s="15" t="s">
        <v>31</v>
      </c>
      <c r="B8" s="9">
        <v>8569.639999999999</v>
      </c>
      <c r="C8" s="9">
        <v>1446.31</v>
      </c>
      <c r="D8" s="9">
        <f>B8+C8</f>
        <v>10015.949999999999</v>
      </c>
      <c r="E8" s="10">
        <v>3</v>
      </c>
      <c r="F8" s="9">
        <v>10099.94</v>
      </c>
    </row>
    <row r="9" spans="1:6">
      <c r="A9" s="15" t="s">
        <v>33</v>
      </c>
      <c r="B9" s="9">
        <v>8092.69</v>
      </c>
      <c r="C9" s="9">
        <v>1901.58</v>
      </c>
      <c r="D9" s="9">
        <f>B9+C9</f>
        <v>9994.27</v>
      </c>
      <c r="E9" s="10">
        <v>4</v>
      </c>
      <c r="F9" s="9">
        <v>10077.02</v>
      </c>
    </row>
    <row r="10" spans="1:6">
      <c r="A10" s="15" t="s">
        <v>36</v>
      </c>
      <c r="B10" s="9">
        <v>7616.77</v>
      </c>
      <c r="C10" s="9">
        <v>2404.95</v>
      </c>
      <c r="D10" s="9">
        <f>B10+C10</f>
        <v>10021.720000000001</v>
      </c>
      <c r="E10" s="10">
        <v>5</v>
      </c>
      <c r="F10" s="9">
        <v>10046.89</v>
      </c>
    </row>
    <row r="11" spans="1:6">
      <c r="A11" s="15" t="s">
        <v>38</v>
      </c>
      <c r="B11" s="9">
        <v>7139.55</v>
      </c>
      <c r="C11" s="9">
        <v>2833.12</v>
      </c>
      <c r="D11" s="9">
        <f>B11+C11</f>
        <v>9972.67</v>
      </c>
      <c r="E11" s="10">
        <v>6</v>
      </c>
      <c r="F11" s="9">
        <v>9977.860000000001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2" width="12.7109375" customWidth="1"/>
    <col min="13" max="15" width="9.7109375" customWidth="1"/>
    <col min="16" max="16" width="13.7109375" customWidth="1"/>
    <col min="17" max="17" width="12.7109375" customWidth="1"/>
    <col min="18" max="18" width="8.7109375" customWidth="1"/>
    <col min="19" max="19" width="24.7109375" customWidth="1"/>
  </cols>
  <sheetData>
    <row r="1" spans="1:19" x14ac:dyDescent="0.25">
      <c r="A1" s="1" t="s">
        <v>59</v>
      </c>
    </row>
    <row r="2" spans="1:19" x14ac:dyDescent="0.25">
      <c r="A2" s="2" t="s">
        <v>60</v>
      </c>
    </row>
    <row r="4" spans="1:19" ht="30" customHeight="1" x14ac:dyDescent="0.25">
      <c r="A4" s="14" t="s">
        <v>42</v>
      </c>
      <c r="B4" s="14" t="s">
        <v>8</v>
      </c>
      <c r="C4" s="14" t="s">
        <v>9</v>
      </c>
      <c r="D4" s="14" t="s">
        <v>10</v>
      </c>
      <c r="E4" s="14" t="s">
        <v>61</v>
      </c>
      <c r="F4" s="14" t="s">
        <v>62</v>
      </c>
      <c r="G4" s="14" t="s">
        <v>63</v>
      </c>
      <c r="H4" s="14" t="s">
        <v>64</v>
      </c>
      <c r="I4" s="14" t="s">
        <v>65</v>
      </c>
      <c r="J4" s="14" t="s">
        <v>66</v>
      </c>
      <c r="K4" s="14" t="s">
        <v>67</v>
      </c>
      <c r="L4" s="14" t="s">
        <v>68</v>
      </c>
      <c r="M4" s="14" t="s">
        <v>69</v>
      </c>
      <c r="N4" s="14" t="s">
        <v>70</v>
      </c>
      <c r="O4" s="14" t="s">
        <v>71</v>
      </c>
      <c r="P4" s="14" t="s">
        <v>72</v>
      </c>
      <c r="Q4" s="14" t="s">
        <v>73</v>
      </c>
      <c r="R4" s="14" t="s">
        <v>74</v>
      </c>
      <c r="S4" s="14" t="s">
        <v>75</v>
      </c>
    </row>
    <row r="5" spans="1:19" x14ac:dyDescent="0.25">
      <c r="A5" s="10">
        <v>1</v>
      </c>
      <c r="B5" s="8" t="s">
        <v>1</v>
      </c>
      <c r="C5" s="8" t="s">
        <v>28</v>
      </c>
      <c r="D5" s="8" t="s">
        <v>25</v>
      </c>
      <c r="E5" s="9">
        <v>933.4400024414062</v>
      </c>
      <c r="F5" s="16">
        <v>1.173222443227651</v>
      </c>
      <c r="G5" s="19">
        <v>-0.4141537329218875</v>
      </c>
      <c r="H5" s="19">
        <v>1.815920968500273</v>
      </c>
      <c r="I5" s="19">
        <v>4.266205445946125</v>
      </c>
      <c r="J5" s="19">
        <v>1.530335160883978</v>
      </c>
      <c r="K5" s="19">
        <v>0</v>
      </c>
      <c r="L5" s="19">
        <v>-3.554186378362447</v>
      </c>
      <c r="M5" s="19">
        <v>21.095882</v>
      </c>
      <c r="N5" s="19">
        <v>10.456314</v>
      </c>
      <c r="O5" s="11">
        <v>0.66638</v>
      </c>
      <c r="P5" s="11">
        <v>3.457</v>
      </c>
      <c r="Q5" s="11">
        <v>1.459902343677745</v>
      </c>
      <c r="R5" s="10">
        <v>50.44808337527054</v>
      </c>
      <c r="S5" s="8" t="s">
        <v>76</v>
      </c>
    </row>
    <row r="6" spans="1:19" x14ac:dyDescent="0.25">
      <c r="A6" s="10">
        <v>2</v>
      </c>
      <c r="B6" s="8" t="s">
        <v>2</v>
      </c>
      <c r="C6" s="8" t="s">
        <v>30</v>
      </c>
      <c r="D6" s="8" t="s">
        <v>25</v>
      </c>
      <c r="E6" s="9">
        <v>1536.869995117188</v>
      </c>
      <c r="F6" s="16">
        <v>1.169478056376643</v>
      </c>
      <c r="G6" s="19">
        <v>-0.3036268476905924</v>
      </c>
      <c r="H6" s="19">
        <v>2.059914574583257</v>
      </c>
      <c r="I6" s="19">
        <v>4.12758937324224</v>
      </c>
      <c r="J6" s="19">
        <v>1.365693417616426</v>
      </c>
      <c r="K6" s="19">
        <v>0</v>
      </c>
      <c r="L6" s="19">
        <v>-3.554186378362447</v>
      </c>
      <c r="M6" s="19">
        <v>20.12168</v>
      </c>
      <c r="N6" s="19">
        <v>14.060845</v>
      </c>
      <c r="O6" s="11">
        <v>0.9164</v>
      </c>
      <c r="P6" s="11">
        <v>3.716</v>
      </c>
      <c r="Q6" s="11">
        <v>1.718151550404877</v>
      </c>
      <c r="R6" s="10">
        <v>51.66385839684092</v>
      </c>
      <c r="S6" s="8" t="s">
        <v>76</v>
      </c>
    </row>
    <row r="7" spans="1:19" x14ac:dyDescent="0.25">
      <c r="A7" s="10">
        <v>3</v>
      </c>
      <c r="B7" s="8" t="s">
        <v>4</v>
      </c>
      <c r="C7" s="8" t="s">
        <v>34</v>
      </c>
      <c r="D7" s="8" t="s">
        <v>35</v>
      </c>
      <c r="E7" s="9">
        <v>361.989990234375</v>
      </c>
      <c r="F7" s="16">
        <v>0.9574483751792983</v>
      </c>
      <c r="G7" s="19">
        <v>0.7607938773386186</v>
      </c>
      <c r="H7" s="19">
        <v>-0.6799927983681159</v>
      </c>
      <c r="I7" s="19">
        <v>2.807045091949661</v>
      </c>
      <c r="J7" s="19">
        <v>1.456840237759929</v>
      </c>
      <c r="K7" s="19">
        <v>0</v>
      </c>
      <c r="L7" s="19">
        <v>0.1626701879863869</v>
      </c>
      <c r="M7" s="19">
        <v>14.45283</v>
      </c>
      <c r="N7" s="19">
        <v>4.0580444</v>
      </c>
      <c r="O7" s="11">
        <v>0.27637</v>
      </c>
      <c r="P7" s="11">
        <v>0.517</v>
      </c>
      <c r="Q7" s="11">
        <v>0.6770724856664994</v>
      </c>
      <c r="R7" s="10">
        <v>71.98558989034771</v>
      </c>
      <c r="S7" s="8" t="s">
        <v>76</v>
      </c>
    </row>
    <row r="8" spans="1:19" x14ac:dyDescent="0.25">
      <c r="A8" s="10">
        <v>4</v>
      </c>
      <c r="B8" s="8" t="s">
        <v>5</v>
      </c>
      <c r="C8" s="8" t="s">
        <v>37</v>
      </c>
      <c r="D8" s="8" t="s">
        <v>35</v>
      </c>
      <c r="E8" s="9">
        <v>383</v>
      </c>
      <c r="F8" s="16">
        <v>0.9164697094795763</v>
      </c>
      <c r="G8" s="19">
        <v>0.7506808295748838</v>
      </c>
      <c r="H8" s="19">
        <v>-0.5735001363123757</v>
      </c>
      <c r="I8" s="19">
        <v>2.376050228636491</v>
      </c>
      <c r="J8" s="19">
        <v>1.453044472042306</v>
      </c>
      <c r="K8" s="19">
        <v>0</v>
      </c>
      <c r="L8" s="19">
        <v>0.1581157412226887</v>
      </c>
      <c r="M8" s="19">
        <v>12.788835</v>
      </c>
      <c r="N8" s="19">
        <v>5.4714427</v>
      </c>
      <c r="O8" s="11">
        <v>0.42099</v>
      </c>
      <c r="P8" s="11">
        <v>0.537</v>
      </c>
      <c r="Q8" s="11">
        <v>0.8186359647727735</v>
      </c>
      <c r="R8" s="10">
        <v>76.46062451795444</v>
      </c>
      <c r="S8" s="8" t="s">
        <v>76</v>
      </c>
    </row>
    <row r="9" spans="1:19" x14ac:dyDescent="0.25">
      <c r="A9" s="10">
        <v>5</v>
      </c>
      <c r="B9" s="8" t="s">
        <v>77</v>
      </c>
      <c r="C9" s="8" t="s">
        <v>78</v>
      </c>
      <c r="D9" s="8" t="s">
        <v>35</v>
      </c>
      <c r="E9" s="9">
        <v>60.95000076293945</v>
      </c>
      <c r="F9" s="16">
        <v>0.8389272175940845</v>
      </c>
      <c r="G9" s="19">
        <v>0.6441526575862923</v>
      </c>
      <c r="H9" s="19">
        <v>0.6153462608193233</v>
      </c>
      <c r="I9" s="19">
        <v>3.210676182303393</v>
      </c>
      <c r="J9" s="19">
        <v>0.3052699134305471</v>
      </c>
      <c r="K9" s="19">
        <v>0</v>
      </c>
      <c r="L9" s="19">
        <v>0.2615929807312613</v>
      </c>
      <c r="M9" s="19">
        <v>17.433628</v>
      </c>
      <c r="N9" s="19">
        <v>1.765813</v>
      </c>
      <c r="O9" s="11">
        <v>0.10629</v>
      </c>
      <c r="P9" s="11">
        <v>0.534</v>
      </c>
      <c r="Q9" s="11">
        <v>0.1460926867579575</v>
      </c>
      <c r="R9" s="10">
        <v>62.0836193857231</v>
      </c>
      <c r="S9" s="8" t="s">
        <v>76</v>
      </c>
    </row>
    <row r="10" spans="1:19" x14ac:dyDescent="0.25">
      <c r="A10" s="10">
        <v>6</v>
      </c>
      <c r="B10" s="8" t="s">
        <v>79</v>
      </c>
      <c r="C10" s="8" t="s">
        <v>80</v>
      </c>
      <c r="D10" s="8" t="s">
        <v>35</v>
      </c>
      <c r="E10" s="9">
        <v>252.0200042724609</v>
      </c>
      <c r="F10" s="16">
        <v>0.768622075589411</v>
      </c>
      <c r="G10" s="19">
        <v>0.5245089923272498</v>
      </c>
      <c r="H10" s="19">
        <v>-0.7869032513361915</v>
      </c>
      <c r="I10" s="19">
        <v>2.345869080031544</v>
      </c>
      <c r="J10" s="19">
        <v>1.278635709817943</v>
      </c>
      <c r="K10" s="19">
        <v>0</v>
      </c>
      <c r="L10" s="19">
        <v>0.3743416091369899</v>
      </c>
      <c r="M10" s="19">
        <v>13.92751</v>
      </c>
      <c r="N10" s="19">
        <v>3.090377</v>
      </c>
      <c r="O10" s="11">
        <v>0.23452999</v>
      </c>
      <c r="P10" s="11">
        <v>0.531</v>
      </c>
      <c r="Q10" s="11">
        <v>0.5971772702846527</v>
      </c>
      <c r="R10" s="10">
        <v>75.0766147580114</v>
      </c>
      <c r="S10" s="8" t="s">
        <v>76</v>
      </c>
    </row>
    <row r="11" spans="1:19" x14ac:dyDescent="0.25">
      <c r="A11" s="10">
        <v>7</v>
      </c>
      <c r="B11" s="8" t="s">
        <v>81</v>
      </c>
      <c r="C11" s="8" t="s">
        <v>82</v>
      </c>
      <c r="D11" s="8" t="s">
        <v>35</v>
      </c>
      <c r="E11" s="9">
        <v>44.29999923706055</v>
      </c>
      <c r="F11" s="16">
        <v>0.6797962078439569</v>
      </c>
      <c r="G11" s="19">
        <v>1.180991741996523</v>
      </c>
      <c r="H11" s="19">
        <v>0.5615290138085626</v>
      </c>
      <c r="I11" s="19">
        <v>-0.283609995077921</v>
      </c>
      <c r="J11" s="19">
        <v>0.9885023787485725</v>
      </c>
      <c r="K11" s="19">
        <v>0</v>
      </c>
      <c r="L11" s="19">
        <v>-0.3556744962059399</v>
      </c>
      <c r="M11" s="19">
        <v>8.974684</v>
      </c>
      <c r="N11" s="19">
        <v>2.1246629</v>
      </c>
      <c r="O11" s="11">
        <v>0.26659</v>
      </c>
      <c r="P11" s="11">
        <v>0.092</v>
      </c>
      <c r="Q11" s="11">
        <v>0.4100597191058337</v>
      </c>
      <c r="R11" s="10">
        <v>67.58723769044478</v>
      </c>
      <c r="S11" s="8" t="s">
        <v>76</v>
      </c>
    </row>
    <row r="12" spans="1:19" x14ac:dyDescent="0.25">
      <c r="A12" s="10">
        <v>8</v>
      </c>
      <c r="B12" s="8" t="s">
        <v>83</v>
      </c>
      <c r="C12" s="8" t="s">
        <v>84</v>
      </c>
      <c r="D12" s="8" t="s">
        <v>25</v>
      </c>
      <c r="E12" s="9">
        <v>217.4400024414062</v>
      </c>
      <c r="F12" s="16">
        <v>0.6650491619952672</v>
      </c>
      <c r="G12" s="19">
        <v>-1.181029849974955</v>
      </c>
      <c r="H12" s="19">
        <v>2.37007023642441</v>
      </c>
      <c r="I12" s="19">
        <v>2.41302945894081</v>
      </c>
      <c r="J12" s="19">
        <v>0.3611144854480505</v>
      </c>
      <c r="K12" s="19">
        <v>0</v>
      </c>
      <c r="L12" s="19">
        <v>-0.1713930070306825</v>
      </c>
      <c r="M12" s="19">
        <v>27.468435</v>
      </c>
      <c r="N12" s="19">
        <v>26.95787</v>
      </c>
      <c r="O12" s="11">
        <v>1.17211</v>
      </c>
      <c r="P12" s="11">
        <v>1.059</v>
      </c>
      <c r="Q12" s="11">
        <v>0.2091375570176681</v>
      </c>
      <c r="R12" s="10">
        <v>51.87290992384082</v>
      </c>
      <c r="S12" s="8" t="s">
        <v>76</v>
      </c>
    </row>
    <row r="13" spans="1:19" x14ac:dyDescent="0.25">
      <c r="A13" s="10">
        <v>9</v>
      </c>
      <c r="B13" s="8" t="s">
        <v>0</v>
      </c>
      <c r="C13" s="8" t="s">
        <v>24</v>
      </c>
      <c r="D13" s="8" t="s">
        <v>25</v>
      </c>
      <c r="E13" s="9">
        <v>425</v>
      </c>
      <c r="F13" s="16">
        <v>0.6297064224653799</v>
      </c>
      <c r="G13" s="19">
        <v>-0.1432744592067679</v>
      </c>
      <c r="H13" s="19">
        <v>-0.9099368713420634</v>
      </c>
      <c r="I13" s="19">
        <v>2.974201127010152</v>
      </c>
      <c r="J13" s="19">
        <v>1.608280043891485</v>
      </c>
      <c r="K13" s="19">
        <v>0</v>
      </c>
      <c r="L13" s="19">
        <v>-2.082809480567236</v>
      </c>
      <c r="M13" s="19">
        <v>36.353783</v>
      </c>
      <c r="N13" s="19">
        <v>-210.92924</v>
      </c>
      <c r="O13" s="11">
        <v>0</v>
      </c>
      <c r="P13" s="11">
        <v>0.875</v>
      </c>
      <c r="Q13" s="11">
        <v>1.941310647213375</v>
      </c>
      <c r="R13" s="10">
        <v>44.90408763111306</v>
      </c>
      <c r="S13" s="8" t="s">
        <v>76</v>
      </c>
    </row>
    <row r="14" spans="1:19" x14ac:dyDescent="0.25">
      <c r="A14" s="10">
        <v>10</v>
      </c>
      <c r="B14" s="8" t="s">
        <v>85</v>
      </c>
      <c r="C14" s="8" t="s">
        <v>86</v>
      </c>
      <c r="D14" s="8" t="s">
        <v>87</v>
      </c>
      <c r="E14" s="9">
        <v>211.3399963378906</v>
      </c>
      <c r="F14" s="16">
        <v>0.6230705947850401</v>
      </c>
      <c r="G14" s="19">
        <v>0.588790081488105</v>
      </c>
      <c r="H14" s="19">
        <v>-0.6572941626990328</v>
      </c>
      <c r="I14" s="19">
        <v>4.12758937324224</v>
      </c>
      <c r="J14" s="19">
        <v>0.07273741413375968</v>
      </c>
      <c r="K14" s="19">
        <v>0</v>
      </c>
      <c r="L14" s="19">
        <v>0.5045059847861416</v>
      </c>
      <c r="M14" s="19">
        <v>11.935252</v>
      </c>
      <c r="N14" s="19">
        <v>1.2848284</v>
      </c>
      <c r="O14" s="11">
        <v>0.09031</v>
      </c>
      <c r="P14" s="11">
        <v>11.11</v>
      </c>
      <c r="Q14" s="11">
        <v>0.09945135302649666</v>
      </c>
      <c r="R14" s="10">
        <v>44.70214500676185</v>
      </c>
      <c r="S14" s="8" t="s">
        <v>76</v>
      </c>
    </row>
    <row r="15" spans="1:19" x14ac:dyDescent="0.25">
      <c r="A15" s="10">
        <v>11</v>
      </c>
      <c r="B15" s="8" t="s">
        <v>88</v>
      </c>
      <c r="C15" s="8" t="s">
        <v>89</v>
      </c>
      <c r="D15" s="8" t="s">
        <v>35</v>
      </c>
      <c r="E15" s="9">
        <v>148.3500061035156</v>
      </c>
      <c r="F15" s="16">
        <v>0.6201529980865428</v>
      </c>
      <c r="G15" s="19">
        <v>0.626069891898576</v>
      </c>
      <c r="H15" s="19">
        <v>0.4653179239592711</v>
      </c>
      <c r="I15" s="19">
        <v>1.413985002184136</v>
      </c>
      <c r="J15" s="19">
        <v>0.4707372508987441</v>
      </c>
      <c r="K15" s="19">
        <v>0</v>
      </c>
      <c r="L15" s="19">
        <v>0.2741552179013221</v>
      </c>
      <c r="M15" s="19">
        <v>11.1643305</v>
      </c>
      <c r="N15" s="19">
        <v>2.3641071</v>
      </c>
      <c r="O15" s="11">
        <v>0.22507</v>
      </c>
      <c r="P15" s="11">
        <v>0.587</v>
      </c>
      <c r="Q15" s="11">
        <v>0.1765594431862711</v>
      </c>
      <c r="R15" s="10">
        <v>56.67336380437713</v>
      </c>
      <c r="S15" s="8" t="s">
        <v>76</v>
      </c>
    </row>
    <row r="16" spans="1:19" x14ac:dyDescent="0.25">
      <c r="A16" s="10">
        <v>12</v>
      </c>
      <c r="B16" s="8" t="s">
        <v>90</v>
      </c>
      <c r="C16" s="8" t="s">
        <v>91</v>
      </c>
      <c r="D16" s="8" t="s">
        <v>92</v>
      </c>
      <c r="E16" s="9">
        <v>304.2300109863281</v>
      </c>
      <c r="F16" s="16">
        <v>0.6158846100801868</v>
      </c>
      <c r="G16" s="19">
        <v>0.02815639480182512</v>
      </c>
      <c r="H16" s="19">
        <v>1.206665013812346</v>
      </c>
      <c r="I16" s="19">
        <v>0.5893325464410265</v>
      </c>
      <c r="J16" s="19">
        <v>0.872800024292623</v>
      </c>
      <c r="K16" s="19">
        <v>0</v>
      </c>
      <c r="L16" s="19">
        <v>-0.5144739653764235</v>
      </c>
      <c r="M16" s="19">
        <v>20.706474</v>
      </c>
      <c r="N16" s="19">
        <v>32.69876</v>
      </c>
      <c r="O16" s="11">
        <v>0.89489</v>
      </c>
      <c r="P16" s="11">
        <v>0.14</v>
      </c>
      <c r="Q16" s="11">
        <v>0.4222265750834804</v>
      </c>
      <c r="R16" s="10">
        <v>46.34797987544066</v>
      </c>
      <c r="S16" s="8" t="s">
        <v>76</v>
      </c>
    </row>
    <row r="17" spans="1:19" x14ac:dyDescent="0.25">
      <c r="A17" s="10">
        <v>13</v>
      </c>
      <c r="B17" s="8" t="s">
        <v>93</v>
      </c>
      <c r="C17" s="8" t="s">
        <v>94</v>
      </c>
      <c r="D17" s="8" t="s">
        <v>87</v>
      </c>
      <c r="E17" s="9">
        <v>257.8699951171875</v>
      </c>
      <c r="F17" s="16">
        <v>0.611534064567484</v>
      </c>
      <c r="G17" s="19">
        <v>1.299052042330012</v>
      </c>
      <c r="H17" s="19">
        <v>0.1657815718694057</v>
      </c>
      <c r="I17" s="19">
        <v>-0.05430715947452922</v>
      </c>
      <c r="J17" s="19">
        <v>0.7021116596541814</v>
      </c>
      <c r="K17" s="19">
        <v>0</v>
      </c>
      <c r="L17" s="19">
        <v>0.5056668910749345</v>
      </c>
      <c r="M17" s="19">
        <v>5.156936</v>
      </c>
      <c r="N17" s="19">
        <v>2.0881312</v>
      </c>
      <c r="O17" s="11">
        <v>0.46113998</v>
      </c>
      <c r="P17" s="11">
        <v>0.118</v>
      </c>
      <c r="Q17" s="11">
        <v>0.2186102950476296</v>
      </c>
      <c r="R17" s="10">
        <v>50.78974543525931</v>
      </c>
      <c r="S17" s="8" t="s">
        <v>76</v>
      </c>
    </row>
    <row r="18" spans="1:19" x14ac:dyDescent="0.25">
      <c r="A18" s="10">
        <v>14</v>
      </c>
      <c r="B18" s="8" t="s">
        <v>95</v>
      </c>
      <c r="C18" s="8" t="s">
        <v>96</v>
      </c>
      <c r="D18" s="8" t="s">
        <v>97</v>
      </c>
      <c r="E18" s="9">
        <v>125.0100021362305</v>
      </c>
      <c r="F18" s="16">
        <v>0.5789192396129739</v>
      </c>
      <c r="G18" s="19">
        <v>0.3547542484834569</v>
      </c>
      <c r="H18" s="19">
        <v>0.5051665520920795</v>
      </c>
      <c r="I18" s="19">
        <v>0.526532558122933</v>
      </c>
      <c r="J18" s="19">
        <v>0.8783623937716313</v>
      </c>
      <c r="K18" s="19">
        <v>0</v>
      </c>
      <c r="L18" s="19">
        <v>0.055137146741291</v>
      </c>
      <c r="M18" s="19">
        <v>15.843312</v>
      </c>
      <c r="N18" s="19">
        <v>3.939749</v>
      </c>
      <c r="O18" s="11">
        <v>0.30667</v>
      </c>
      <c r="P18" s="11">
        <v>0.377</v>
      </c>
      <c r="Q18" s="11">
        <v>0.2747017694018412</v>
      </c>
      <c r="R18" s="10">
        <v>54.59762999280029</v>
      </c>
      <c r="S18" s="8" t="s">
        <v>76</v>
      </c>
    </row>
    <row r="19" spans="1:19" x14ac:dyDescent="0.25">
      <c r="A19" s="10">
        <v>15</v>
      </c>
      <c r="B19" s="8" t="s">
        <v>98</v>
      </c>
      <c r="C19" s="8" t="s">
        <v>99</v>
      </c>
      <c r="D19" s="8" t="s">
        <v>87</v>
      </c>
      <c r="E19" s="9">
        <v>108.2799987792969</v>
      </c>
      <c r="F19" s="16">
        <v>0.56819823093239</v>
      </c>
      <c r="G19" s="19">
        <v>0.08365196315212738</v>
      </c>
      <c r="H19" s="19">
        <v>1.221326744496752</v>
      </c>
      <c r="I19" s="19">
        <v>0.1023029875964842</v>
      </c>
      <c r="J19" s="19">
        <v>0.6137225772405409</v>
      </c>
      <c r="K19" s="19">
        <v>0</v>
      </c>
      <c r="L19" s="19">
        <v>0.9129608892018518</v>
      </c>
      <c r="M19" s="19">
        <v>20.065575</v>
      </c>
      <c r="N19" s="19">
        <v>4.333084</v>
      </c>
      <c r="O19" s="11">
        <v>0.20273</v>
      </c>
      <c r="P19" s="11">
        <v>0.209</v>
      </c>
      <c r="Q19" s="11">
        <v>0.1443239902155196</v>
      </c>
      <c r="R19" s="10">
        <v>51.23363878393255</v>
      </c>
      <c r="S19" s="8" t="s">
        <v>76</v>
      </c>
    </row>
    <row r="20" spans="1:19" x14ac:dyDescent="0.25">
      <c r="A20" s="10">
        <v>16</v>
      </c>
      <c r="B20" s="8" t="s">
        <v>100</v>
      </c>
      <c r="C20" s="8" t="s">
        <v>101</v>
      </c>
      <c r="D20" s="8" t="s">
        <v>97</v>
      </c>
      <c r="E20" s="9">
        <v>66.91999816894531</v>
      </c>
      <c r="F20" s="16">
        <v>0.5485608290322841</v>
      </c>
      <c r="G20" s="19">
        <v>0.4866550004416153</v>
      </c>
      <c r="H20" s="19">
        <v>0.6572130983041129</v>
      </c>
      <c r="I20" s="19">
        <v>0.2052523593343346</v>
      </c>
      <c r="J20" s="19">
        <v>0.6514555734746182</v>
      </c>
      <c r="K20" s="19">
        <v>0</v>
      </c>
      <c r="L20" s="19">
        <v>0.5668017522224791</v>
      </c>
      <c r="M20" s="19">
        <v>14.762749</v>
      </c>
      <c r="N20" s="19">
        <v>6.0942793</v>
      </c>
      <c r="O20" s="11">
        <v>0.46598998</v>
      </c>
      <c r="P20" s="11">
        <v>0.057</v>
      </c>
      <c r="Q20" s="11">
        <v>0.1168442617445413</v>
      </c>
      <c r="R20" s="10">
        <v>59.7292562771191</v>
      </c>
      <c r="S20" s="8" t="s">
        <v>76</v>
      </c>
    </row>
    <row r="21" spans="1:19" x14ac:dyDescent="0.25">
      <c r="A21" s="10">
        <v>17</v>
      </c>
      <c r="B21" s="8" t="s">
        <v>3</v>
      </c>
      <c r="C21" s="8" t="s">
        <v>32</v>
      </c>
      <c r="D21" s="8" t="s">
        <v>25</v>
      </c>
      <c r="E21" s="9">
        <v>450.4400024414062</v>
      </c>
      <c r="F21" s="16">
        <v>0.5415297623462551</v>
      </c>
      <c r="G21" s="19">
        <v>-0.9089117611651794</v>
      </c>
      <c r="H21" s="19">
        <v>2.149283894198748</v>
      </c>
      <c r="I21" s="19">
        <v>2.955409129427278</v>
      </c>
      <c r="J21" s="19">
        <v>0.4064360291013725</v>
      </c>
      <c r="K21" s="19">
        <v>0</v>
      </c>
      <c r="L21" s="19">
        <v>-3.554186378362447</v>
      </c>
      <c r="M21" s="19">
        <v>17.067236</v>
      </c>
      <c r="N21" s="19">
        <v>21.967487</v>
      </c>
      <c r="O21" s="11">
        <v>1.30853</v>
      </c>
      <c r="P21" s="11">
        <v>0.438</v>
      </c>
      <c r="Q21" s="11">
        <v>0.798703509252862</v>
      </c>
      <c r="R21" s="10">
        <v>43.73367487660393</v>
      </c>
      <c r="S21" s="8" t="s">
        <v>76</v>
      </c>
    </row>
    <row r="22" spans="1:19" x14ac:dyDescent="0.25">
      <c r="A22" s="10">
        <v>18</v>
      </c>
      <c r="B22" s="8" t="s">
        <v>102</v>
      </c>
      <c r="C22" s="8" t="s">
        <v>103</v>
      </c>
      <c r="D22" s="8" t="s">
        <v>35</v>
      </c>
      <c r="E22" s="9">
        <v>211.0500030517578</v>
      </c>
      <c r="F22" s="16">
        <v>0.5401046589977162</v>
      </c>
      <c r="G22" s="19">
        <v>0.556513719960729</v>
      </c>
      <c r="H22" s="19">
        <v>-0.3268121485730144</v>
      </c>
      <c r="I22" s="19">
        <v>2.250950359039762</v>
      </c>
      <c r="J22" s="19">
        <v>0.3353731162324973</v>
      </c>
      <c r="K22" s="19">
        <v>0</v>
      </c>
      <c r="L22" s="19">
        <v>0.7563683731636086</v>
      </c>
      <c r="M22" s="19">
        <v>19.409616</v>
      </c>
      <c r="N22" s="19">
        <v>2.0853305</v>
      </c>
      <c r="O22" s="11">
        <v>0.12231</v>
      </c>
      <c r="P22" s="11">
        <v>0.535</v>
      </c>
      <c r="Q22" s="11">
        <v>0.1381139908378988</v>
      </c>
      <c r="R22" s="10">
        <v>71.60464863030431</v>
      </c>
      <c r="S22" s="8" t="s">
        <v>76</v>
      </c>
    </row>
    <row r="23" spans="1:19" x14ac:dyDescent="0.25">
      <c r="A23" s="10">
        <v>19</v>
      </c>
      <c r="B23" s="8" t="s">
        <v>104</v>
      </c>
      <c r="C23" s="8" t="s">
        <v>105</v>
      </c>
      <c r="D23" s="8" t="s">
        <v>35</v>
      </c>
      <c r="E23" s="9">
        <v>203.1600036621094</v>
      </c>
      <c r="F23" s="16">
        <v>0.5305610090884552</v>
      </c>
      <c r="G23" s="19">
        <v>0.6300105237233145</v>
      </c>
      <c r="H23" s="19">
        <v>-0.04505139788901939</v>
      </c>
      <c r="I23" s="19">
        <v>1.570837850468294</v>
      </c>
      <c r="J23" s="19">
        <v>0.4508101730943636</v>
      </c>
      <c r="K23" s="19">
        <v>0</v>
      </c>
      <c r="L23" s="19">
        <v>0.270683957113491</v>
      </c>
      <c r="M23" s="19">
        <v>37.579845</v>
      </c>
      <c r="N23" s="19">
        <v>1.4633226</v>
      </c>
      <c r="O23" s="11">
        <v>0.034930002</v>
      </c>
      <c r="P23" s="11">
        <v>0.525</v>
      </c>
      <c r="Q23" s="11">
        <v>0.1639168565252822</v>
      </c>
      <c r="R23" s="10">
        <v>54.29840659207855</v>
      </c>
      <c r="S23" s="8" t="s">
        <v>76</v>
      </c>
    </row>
    <row r="24" spans="1:19" x14ac:dyDescent="0.25">
      <c r="A24" s="10">
        <v>20</v>
      </c>
      <c r="B24" s="8" t="s">
        <v>106</v>
      </c>
      <c r="C24" s="8" t="s">
        <v>107</v>
      </c>
      <c r="D24" s="8" t="s">
        <v>25</v>
      </c>
      <c r="E24" s="9">
        <v>183.1600036621094</v>
      </c>
      <c r="F24" s="16">
        <v>0.5175125565590661</v>
      </c>
      <c r="G24" s="19">
        <v>-0.4163532752680855</v>
      </c>
      <c r="H24" s="19">
        <v>1.256179888265389</v>
      </c>
      <c r="I24" s="19">
        <v>-0.2091710352067727</v>
      </c>
      <c r="J24" s="19">
        <v>1.075325353994139</v>
      </c>
      <c r="K24" s="19">
        <v>0</v>
      </c>
      <c r="L24" s="19">
        <v>-0.1072377352581109</v>
      </c>
      <c r="M24" s="19">
        <v>29.498423</v>
      </c>
      <c r="N24" s="19">
        <v>27.131872</v>
      </c>
      <c r="O24" s="11">
        <v>1.06734</v>
      </c>
      <c r="P24" s="11">
        <v>0.125</v>
      </c>
      <c r="Q24" s="11">
        <v>0.8691903396615654</v>
      </c>
      <c r="R24" s="10">
        <v>45.70079166571557</v>
      </c>
      <c r="S24" s="8" t="s">
        <v>76</v>
      </c>
    </row>
    <row r="25" spans="1:19" x14ac:dyDescent="0.25">
      <c r="A25" s="10">
        <v>21</v>
      </c>
      <c r="B25" s="8" t="s">
        <v>108</v>
      </c>
      <c r="C25" s="8" t="s">
        <v>109</v>
      </c>
      <c r="D25" s="8" t="s">
        <v>25</v>
      </c>
      <c r="E25" s="9">
        <v>50.86999893188477</v>
      </c>
      <c r="F25" s="16">
        <v>0.5168014817492296</v>
      </c>
      <c r="G25" s="19">
        <v>0.2630418482711242</v>
      </c>
      <c r="H25" s="19">
        <v>-0.6920579173680381</v>
      </c>
      <c r="I25" s="19">
        <v>1.303910323344291</v>
      </c>
      <c r="J25" s="19">
        <v>1.350299201213216</v>
      </c>
      <c r="K25" s="19">
        <v>0</v>
      </c>
      <c r="L25" s="19">
        <v>-1.030293729636665</v>
      </c>
      <c r="M25" s="19">
        <v>48.887848</v>
      </c>
      <c r="N25" s="19">
        <v>2.7368805</v>
      </c>
      <c r="O25" s="11">
        <v>0.06315</v>
      </c>
      <c r="P25" s="11">
        <v>0.4</v>
      </c>
      <c r="Q25" s="11">
        <v>1.37281915384833</v>
      </c>
      <c r="R25" s="10">
        <v>45.56155343762108</v>
      </c>
      <c r="S25" s="8" t="s">
        <v>76</v>
      </c>
    </row>
    <row r="26" spans="1:19" x14ac:dyDescent="0.25">
      <c r="A26" s="10">
        <v>22</v>
      </c>
      <c r="B26" s="8" t="s">
        <v>110</v>
      </c>
      <c r="C26" s="8" t="s">
        <v>111</v>
      </c>
      <c r="D26" s="8" t="s">
        <v>97</v>
      </c>
      <c r="E26" s="9">
        <v>405.8399963378906</v>
      </c>
      <c r="F26" s="16">
        <v>0.5126442628358368</v>
      </c>
      <c r="G26" s="19">
        <v>-0.9726355829702346</v>
      </c>
      <c r="H26" s="19">
        <v>-0.4324969997184582</v>
      </c>
      <c r="I26" s="19">
        <v>4.12758937324224</v>
      </c>
      <c r="J26" s="19">
        <v>0.5890230104538892</v>
      </c>
      <c r="K26" s="19">
        <v>0</v>
      </c>
      <c r="L26" s="19">
        <v>0.6617573284098744</v>
      </c>
      <c r="M26" s="19">
        <v>105.25127</v>
      </c>
      <c r="N26" s="19">
        <v>2.680677</v>
      </c>
      <c r="O26" s="11">
        <v>0.019199999</v>
      </c>
      <c r="P26" s="11">
        <v>1.134</v>
      </c>
      <c r="Q26" s="11">
        <v>0.3001857413090314</v>
      </c>
      <c r="R26" s="10">
        <v>52.07497110059915</v>
      </c>
      <c r="S26" s="8" t="s">
        <v>76</v>
      </c>
    </row>
    <row r="27" spans="1:19" x14ac:dyDescent="0.25">
      <c r="A27" s="10">
        <v>23</v>
      </c>
      <c r="B27" s="8" t="s">
        <v>112</v>
      </c>
      <c r="C27" s="8" t="s">
        <v>113</v>
      </c>
      <c r="D27" s="8" t="s">
        <v>92</v>
      </c>
      <c r="E27" s="9">
        <v>93.19999694824219</v>
      </c>
      <c r="F27" s="16">
        <v>0.5095092804132845</v>
      </c>
      <c r="G27" s="19">
        <v>0.1351965712218133</v>
      </c>
      <c r="H27" s="19">
        <v>1.640909999466138</v>
      </c>
      <c r="I27" s="19">
        <v>0.03821118616689118</v>
      </c>
      <c r="J27" s="19">
        <v>0.3080471037980272</v>
      </c>
      <c r="K27" s="19">
        <v>0</v>
      </c>
      <c r="L27" s="19">
        <v>0.3800772843337862</v>
      </c>
      <c r="M27" s="19">
        <v>16.766905</v>
      </c>
      <c r="N27" s="19">
        <v>18.876202</v>
      </c>
      <c r="O27" s="11">
        <v>1.5956</v>
      </c>
      <c r="P27" s="11">
        <v>0.162</v>
      </c>
      <c r="Q27" s="11">
        <v>-0.03033542100628361</v>
      </c>
      <c r="R27" s="10">
        <v>52.09734154570462</v>
      </c>
      <c r="S27" s="8" t="s">
        <v>76</v>
      </c>
    </row>
    <row r="28" spans="1:19" x14ac:dyDescent="0.25">
      <c r="A28" s="10">
        <v>24</v>
      </c>
      <c r="B28" s="8" t="s">
        <v>114</v>
      </c>
      <c r="C28" s="8" t="s">
        <v>115</v>
      </c>
      <c r="D28" s="8" t="s">
        <v>116</v>
      </c>
      <c r="E28" s="9">
        <v>135.6000061035156</v>
      </c>
      <c r="F28" s="16">
        <v>0.500513329849641</v>
      </c>
      <c r="G28" s="19">
        <v>0.6758234888176574</v>
      </c>
      <c r="H28" s="19">
        <v>0.2963342123961663</v>
      </c>
      <c r="I28" s="19">
        <v>0.2761473880447703</v>
      </c>
      <c r="J28" s="19">
        <v>0.6771125751271094</v>
      </c>
      <c r="K28" s="19">
        <v>0</v>
      </c>
      <c r="L28" s="19">
        <v>0.03555272777992204</v>
      </c>
      <c r="M28" s="19">
        <v>9.331602999999999</v>
      </c>
      <c r="N28" s="19">
        <v>3.3175094</v>
      </c>
      <c r="O28" s="11">
        <v>0.29867</v>
      </c>
      <c r="P28" s="11">
        <v>0.176</v>
      </c>
      <c r="Q28" s="11">
        <v>0.2874424165088272</v>
      </c>
      <c r="R28" s="10">
        <v>69.12167518760248</v>
      </c>
      <c r="S28" s="8" t="s">
        <v>76</v>
      </c>
    </row>
    <row r="29" spans="1:19" x14ac:dyDescent="0.25">
      <c r="A29" s="10">
        <v>25</v>
      </c>
      <c r="B29" s="8" t="s">
        <v>117</v>
      </c>
      <c r="C29" s="8" t="s">
        <v>118</v>
      </c>
      <c r="D29" s="8" t="s">
        <v>97</v>
      </c>
      <c r="E29" s="9">
        <v>438.1199951171875</v>
      </c>
      <c r="F29" s="16">
        <v>0.4969613458936494</v>
      </c>
      <c r="G29" s="19">
        <v>-0.2421358524050068</v>
      </c>
      <c r="H29" s="19">
        <v>1.235722878380574</v>
      </c>
      <c r="I29" s="19">
        <v>-0.09848432835705492</v>
      </c>
      <c r="J29" s="19">
        <v>0.7320008486913989</v>
      </c>
      <c r="K29" s="19">
        <v>0</v>
      </c>
      <c r="L29" s="19">
        <v>0.6816814096751428</v>
      </c>
      <c r="M29" s="19">
        <v>26.875078</v>
      </c>
      <c r="N29" s="19">
        <v>20.000925</v>
      </c>
      <c r="O29" s="11">
        <v>0.91473</v>
      </c>
      <c r="P29" s="11">
        <v>0.095</v>
      </c>
      <c r="Q29" s="11">
        <v>0.1777404730924301</v>
      </c>
      <c r="R29" s="10">
        <v>66.50037520073629</v>
      </c>
      <c r="S29" s="8" t="s">
        <v>76</v>
      </c>
    </row>
    <row r="30" spans="1:19" x14ac:dyDescent="0.25">
      <c r="A30" s="10">
        <v>26</v>
      </c>
      <c r="B30" s="8" t="s">
        <v>119</v>
      </c>
      <c r="C30" s="8" t="s">
        <v>120</v>
      </c>
      <c r="D30" s="8" t="s">
        <v>121</v>
      </c>
      <c r="E30" s="9">
        <v>69.56999969482422</v>
      </c>
      <c r="F30" s="16">
        <v>0.4795440739896837</v>
      </c>
      <c r="G30" s="19">
        <v>0.5501274300267243</v>
      </c>
      <c r="H30" s="19">
        <v>1.841068648189355</v>
      </c>
      <c r="I30" s="19">
        <v>-0.6294234346915084</v>
      </c>
      <c r="J30" s="19">
        <v>0.1015529609376061</v>
      </c>
      <c r="K30" s="19">
        <v>0</v>
      </c>
      <c r="L30" s="19">
        <v>0.393580118240667</v>
      </c>
      <c r="M30" s="19">
        <v>14.242739</v>
      </c>
      <c r="N30" s="19">
        <v>-42.95995</v>
      </c>
      <c r="O30" s="11">
        <v>0</v>
      </c>
      <c r="P30" s="11">
        <v>0.012</v>
      </c>
      <c r="Q30" s="11">
        <v>0.04214796324844805</v>
      </c>
      <c r="R30" s="10">
        <v>54.99849936221541</v>
      </c>
      <c r="S30" s="8" t="s">
        <v>76</v>
      </c>
    </row>
    <row r="31" spans="1:19" x14ac:dyDescent="0.25">
      <c r="A31" s="10">
        <v>27</v>
      </c>
      <c r="B31" s="8" t="s">
        <v>122</v>
      </c>
      <c r="C31" s="8" t="s">
        <v>123</v>
      </c>
      <c r="D31" s="8" t="s">
        <v>87</v>
      </c>
      <c r="E31" s="9">
        <v>363.9200134277344</v>
      </c>
      <c r="F31" s="16">
        <v>0.4750693645959413</v>
      </c>
      <c r="G31" s="19">
        <v>1.233688344268854</v>
      </c>
      <c r="H31" s="19">
        <v>-0.1209388667662471</v>
      </c>
      <c r="I31" s="19">
        <v>-0.3789121155917646</v>
      </c>
      <c r="J31" s="19">
        <v>0.6291731353936107</v>
      </c>
      <c r="K31" s="19">
        <v>0</v>
      </c>
      <c r="L31" s="19">
        <v>0.6204403092273081</v>
      </c>
      <c r="M31" s="19">
        <v>9.919549</v>
      </c>
      <c r="N31" s="19">
        <v>2.3296678</v>
      </c>
      <c r="O31" s="11">
        <v>0.26511</v>
      </c>
      <c r="P31" s="11">
        <v>0.003</v>
      </c>
      <c r="Q31" s="11">
        <v>0.1794453676755525</v>
      </c>
      <c r="R31" s="10">
        <v>46.71708990738924</v>
      </c>
      <c r="S31" s="8" t="s">
        <v>76</v>
      </c>
    </row>
    <row r="32" spans="1:19" x14ac:dyDescent="0.25">
      <c r="A32" s="10">
        <v>28</v>
      </c>
      <c r="B32" s="8" t="s">
        <v>124</v>
      </c>
      <c r="C32" s="8" t="s">
        <v>125</v>
      </c>
      <c r="D32" s="8" t="s">
        <v>87</v>
      </c>
      <c r="E32" s="9">
        <v>581.0999755859375</v>
      </c>
      <c r="F32" s="16">
        <v>0.4627749048861954</v>
      </c>
      <c r="G32" s="19">
        <v>-1.474085335991063</v>
      </c>
      <c r="H32" s="19">
        <v>2.898258236165586</v>
      </c>
      <c r="I32" s="19">
        <v>-0.1725926699877148</v>
      </c>
      <c r="J32" s="19">
        <v>0.4455811158118482</v>
      </c>
      <c r="K32" s="19">
        <v>0</v>
      </c>
      <c r="L32" s="19">
        <v>0.9749610721165579</v>
      </c>
      <c r="M32" s="19">
        <v>32.565643</v>
      </c>
      <c r="N32" s="19">
        <v>93.07380000000001</v>
      </c>
      <c r="O32" s="11">
        <v>2.41202</v>
      </c>
      <c r="P32" s="11">
        <v>0.141</v>
      </c>
      <c r="Q32" s="11">
        <v>0.1120582336705458</v>
      </c>
      <c r="R32" s="10">
        <v>55.70271450417012</v>
      </c>
      <c r="S32" s="8" t="s">
        <v>76</v>
      </c>
    </row>
    <row r="33" spans="1:19" x14ac:dyDescent="0.25">
      <c r="A33" s="10">
        <v>29</v>
      </c>
      <c r="B33" s="8" t="s">
        <v>126</v>
      </c>
      <c r="C33" s="8" t="s">
        <v>127</v>
      </c>
      <c r="D33" s="8" t="s">
        <v>87</v>
      </c>
      <c r="E33" s="9">
        <v>404.8099975585938</v>
      </c>
      <c r="F33" s="16">
        <v>0.4591179149903291</v>
      </c>
      <c r="G33" s="19">
        <v>0.3093493865558575</v>
      </c>
      <c r="H33" s="19">
        <v>0.7050912458411566</v>
      </c>
      <c r="I33" s="19">
        <v>-0.1093741464017893</v>
      </c>
      <c r="J33" s="19">
        <v>0.6051390384954368</v>
      </c>
      <c r="K33" s="19">
        <v>0</v>
      </c>
      <c r="L33" s="19">
        <v>0.5786311479764153</v>
      </c>
      <c r="M33" s="19">
        <v>24.571085</v>
      </c>
      <c r="N33" s="19">
        <v>7.5607543</v>
      </c>
      <c r="O33" s="11">
        <v>0.29215</v>
      </c>
      <c r="P33" s="11">
        <v>0.215</v>
      </c>
      <c r="Q33" s="11">
        <v>0.2104837668337398</v>
      </c>
      <c r="R33" s="10">
        <v>54.64609628677665</v>
      </c>
      <c r="S33" s="8" t="s">
        <v>76</v>
      </c>
    </row>
    <row r="34" spans="1:19" x14ac:dyDescent="0.25">
      <c r="A34" s="10">
        <v>30</v>
      </c>
      <c r="B34" s="8" t="s">
        <v>128</v>
      </c>
      <c r="C34" s="8" t="s">
        <v>129</v>
      </c>
      <c r="D34" s="8" t="s">
        <v>25</v>
      </c>
      <c r="E34" s="9">
        <v>30.02000045776367</v>
      </c>
      <c r="F34" s="16">
        <v>0.4558945757130657</v>
      </c>
      <c r="G34" s="19">
        <v>0.5180662182502601</v>
      </c>
      <c r="H34" s="19">
        <v>0.7480363136364186</v>
      </c>
      <c r="I34" s="19">
        <v>-0.1877037530857071</v>
      </c>
      <c r="J34" s="19">
        <v>0.5399536999157968</v>
      </c>
      <c r="K34" s="19">
        <v>0</v>
      </c>
      <c r="L34" s="19">
        <v>0.2111118820020053</v>
      </c>
      <c r="M34" s="19">
        <v>17.827587</v>
      </c>
      <c r="N34" s="19">
        <v>6.9959407</v>
      </c>
      <c r="O34" s="11">
        <v>0.41944</v>
      </c>
      <c r="P34" s="11">
        <v>0.063</v>
      </c>
      <c r="Q34" s="11">
        <v>0.3533004092198408</v>
      </c>
      <c r="R34" s="10">
        <v>61.00117942829461</v>
      </c>
      <c r="S34" s="8" t="s">
        <v>76</v>
      </c>
    </row>
    <row r="35" spans="1:19" x14ac:dyDescent="0.25">
      <c r="A35" s="10">
        <v>31</v>
      </c>
      <c r="B35" s="8" t="s">
        <v>130</v>
      </c>
      <c r="C35" s="8" t="s">
        <v>131</v>
      </c>
      <c r="D35" s="8" t="s">
        <v>87</v>
      </c>
      <c r="E35" s="9">
        <v>173.5</v>
      </c>
      <c r="F35" s="16">
        <v>0.4465679571037485</v>
      </c>
      <c r="G35" s="19">
        <v>0.5395560519923884</v>
      </c>
      <c r="H35" s="19">
        <v>0.565362548485465</v>
      </c>
      <c r="I35" s="19">
        <v>-0.05467446158502198</v>
      </c>
      <c r="J35" s="19">
        <v>0.4226478530522234</v>
      </c>
      <c r="K35" s="19">
        <v>0</v>
      </c>
      <c r="L35" s="19">
        <v>0.9102825923154756</v>
      </c>
      <c r="M35" s="19">
        <v>15.65096</v>
      </c>
      <c r="N35" s="19">
        <v>2.7135465</v>
      </c>
      <c r="O35" s="11">
        <v>0.18416001</v>
      </c>
      <c r="P35" s="11">
        <v>0.151</v>
      </c>
      <c r="Q35" s="11">
        <v>0.1366433636618272</v>
      </c>
      <c r="R35" s="10">
        <v>46.56301517390835</v>
      </c>
      <c r="S35" s="8" t="s">
        <v>76</v>
      </c>
    </row>
    <row r="36" spans="1:19" x14ac:dyDescent="0.25">
      <c r="A36" s="10">
        <v>32</v>
      </c>
      <c r="B36" s="8" t="s">
        <v>132</v>
      </c>
      <c r="C36" s="8" t="s">
        <v>133</v>
      </c>
      <c r="D36" s="8" t="s">
        <v>87</v>
      </c>
      <c r="E36" s="9">
        <v>211.0399932861328</v>
      </c>
      <c r="F36" s="16">
        <v>0.4448062335301415</v>
      </c>
      <c r="G36" s="19">
        <v>0.3606114262700158</v>
      </c>
      <c r="H36" s="19">
        <v>0.7734905973148591</v>
      </c>
      <c r="I36" s="19">
        <v>0.3819632017249545</v>
      </c>
      <c r="J36" s="19">
        <v>0.311066644900183</v>
      </c>
      <c r="K36" s="19">
        <v>0</v>
      </c>
      <c r="L36" s="19">
        <v>0.5783663693465612</v>
      </c>
      <c r="M36" s="19">
        <v>17.362167</v>
      </c>
      <c r="N36" s="19">
        <v>3.1676524</v>
      </c>
      <c r="O36" s="11">
        <v>0.17969999</v>
      </c>
      <c r="P36" s="11">
        <v>0.28</v>
      </c>
      <c r="Q36" s="11">
        <v>0.2855805954504331</v>
      </c>
      <c r="R36" s="10">
        <v>44.75446895013088</v>
      </c>
      <c r="S36" s="8" t="s">
        <v>76</v>
      </c>
    </row>
    <row r="37" spans="1:19" x14ac:dyDescent="0.25">
      <c r="A37" s="10">
        <v>33</v>
      </c>
      <c r="B37" s="8" t="s">
        <v>134</v>
      </c>
      <c r="C37" s="8" t="s">
        <v>135</v>
      </c>
      <c r="D37" s="8" t="s">
        <v>87</v>
      </c>
      <c r="E37" s="9">
        <v>372.6700134277344</v>
      </c>
      <c r="F37" s="16">
        <v>0.4258959445218294</v>
      </c>
      <c r="G37" s="19">
        <v>-0.8579418461106736</v>
      </c>
      <c r="H37" s="19">
        <v>1.968378447518884</v>
      </c>
      <c r="I37" s="19">
        <v>-0.2192287351731601</v>
      </c>
      <c r="J37" s="19">
        <v>0.4827855919055765</v>
      </c>
      <c r="K37" s="19">
        <v>0</v>
      </c>
      <c r="L37" s="19">
        <v>1.064745644315671</v>
      </c>
      <c r="M37" s="19">
        <v>32.476597</v>
      </c>
      <c r="N37" s="19">
        <v>20.222574</v>
      </c>
      <c r="O37" s="11">
        <v>0.6119</v>
      </c>
      <c r="P37" s="11">
        <v>0.144</v>
      </c>
      <c r="Q37" s="11">
        <v>0.1661514393863721</v>
      </c>
      <c r="R37" s="10">
        <v>54.30594216676963</v>
      </c>
      <c r="S37" s="8" t="s">
        <v>76</v>
      </c>
    </row>
    <row r="38" spans="1:19" x14ac:dyDescent="0.25">
      <c r="A38" s="10">
        <v>34</v>
      </c>
      <c r="B38" s="8" t="s">
        <v>136</v>
      </c>
      <c r="C38" s="8" t="s">
        <v>137</v>
      </c>
      <c r="D38" s="8" t="s">
        <v>87</v>
      </c>
      <c r="E38" s="9">
        <v>542.6400146484375</v>
      </c>
      <c r="F38" s="16">
        <v>0.4237491075589168</v>
      </c>
      <c r="G38" s="19">
        <v>0.3931690320945501</v>
      </c>
      <c r="H38" s="19">
        <v>0.6248071829755445</v>
      </c>
      <c r="I38" s="19">
        <v>-0.2867976137565587</v>
      </c>
      <c r="J38" s="19">
        <v>0.502739669790368</v>
      </c>
      <c r="K38" s="19">
        <v>0</v>
      </c>
      <c r="L38" s="19">
        <v>0.9223189102534687</v>
      </c>
      <c r="M38" s="19">
        <v>13.51341</v>
      </c>
      <c r="N38" s="19">
        <v>7.7711396</v>
      </c>
      <c r="O38" s="11">
        <v>0.63432</v>
      </c>
      <c r="P38" s="11">
        <v>0.116</v>
      </c>
      <c r="Q38" s="11">
        <v>0.1731732157056591</v>
      </c>
      <c r="R38" s="10">
        <v>45.67875323818858</v>
      </c>
      <c r="S38" s="8" t="s">
        <v>76</v>
      </c>
    </row>
    <row r="39" spans="1:19" x14ac:dyDescent="0.25">
      <c r="A39" s="10">
        <v>35</v>
      </c>
      <c r="B39" s="8" t="s">
        <v>138</v>
      </c>
      <c r="C39" s="8" t="s">
        <v>139</v>
      </c>
      <c r="D39" s="8" t="s">
        <v>25</v>
      </c>
      <c r="E39" s="9">
        <v>161.8500061035156</v>
      </c>
      <c r="F39" s="16">
        <v>0.4161120929684841</v>
      </c>
      <c r="G39" s="19">
        <v>-2.124796305048686</v>
      </c>
      <c r="H39" s="19">
        <v>1.762257701805215</v>
      </c>
      <c r="I39" s="19">
        <v>0.2332436258273763</v>
      </c>
      <c r="J39" s="19">
        <v>1.45132688477155</v>
      </c>
      <c r="K39" s="19">
        <v>0</v>
      </c>
      <c r="L39" s="19">
        <v>-0.3080386954852742</v>
      </c>
      <c r="M39" s="19">
        <v>61.02941</v>
      </c>
      <c r="N39" s="19">
        <v>78.524124</v>
      </c>
      <c r="O39" s="11">
        <v>1.17442</v>
      </c>
      <c r="P39" s="11">
        <v>0.256</v>
      </c>
      <c r="Q39" s="11">
        <v>0.9956844531280942</v>
      </c>
      <c r="R39" s="10">
        <v>52.07606850997672</v>
      </c>
      <c r="S39" s="8" t="s">
        <v>76</v>
      </c>
    </row>
    <row r="40" spans="1:19" x14ac:dyDescent="0.25">
      <c r="A40" s="10">
        <v>36</v>
      </c>
      <c r="B40" s="8" t="s">
        <v>140</v>
      </c>
      <c r="C40" s="8" t="s">
        <v>141</v>
      </c>
      <c r="D40" s="8" t="s">
        <v>35</v>
      </c>
      <c r="E40" s="9">
        <v>136.1900024414062</v>
      </c>
      <c r="F40" s="16">
        <v>0.4144094122647323</v>
      </c>
      <c r="G40" s="19">
        <v>0.5382416025316706</v>
      </c>
      <c r="H40" s="19">
        <v>-0.1373339426941943</v>
      </c>
      <c r="I40" s="19">
        <v>0.7860752054581115</v>
      </c>
      <c r="J40" s="19">
        <v>0.5095157548715161</v>
      </c>
      <c r="K40" s="19">
        <v>0</v>
      </c>
      <c r="L40" s="19">
        <v>0.4063000959621123</v>
      </c>
      <c r="M40" s="19">
        <v>17.128778</v>
      </c>
      <c r="N40" s="19">
        <v>2.396272</v>
      </c>
      <c r="O40" s="11">
        <v>0.1418</v>
      </c>
      <c r="P40" s="11">
        <v>0.355</v>
      </c>
      <c r="Q40" s="11">
        <v>0.1653496878943101</v>
      </c>
      <c r="R40" s="10">
        <v>70.06544562345817</v>
      </c>
      <c r="S40" s="8" t="s">
        <v>76</v>
      </c>
    </row>
    <row r="41" spans="1:19" x14ac:dyDescent="0.25">
      <c r="A41" s="10">
        <v>37</v>
      </c>
      <c r="B41" s="8" t="s">
        <v>142</v>
      </c>
      <c r="C41" s="8" t="s">
        <v>143</v>
      </c>
      <c r="D41" s="8" t="s">
        <v>121</v>
      </c>
      <c r="E41" s="9">
        <v>163.75</v>
      </c>
      <c r="F41" s="16">
        <v>0.409061815122658</v>
      </c>
      <c r="G41" s="19">
        <v>0.5047978572859582</v>
      </c>
      <c r="H41" s="19">
        <v>-0.5575283414198151</v>
      </c>
      <c r="I41" s="19">
        <v>-0.04678311634947013</v>
      </c>
      <c r="J41" s="19">
        <v>1.091489371774272</v>
      </c>
      <c r="K41" s="19">
        <v>0</v>
      </c>
      <c r="L41" s="19">
        <v>0.2617883716747227</v>
      </c>
      <c r="M41" s="19">
        <v>16.927385</v>
      </c>
      <c r="N41" s="19">
        <v>4.154594</v>
      </c>
      <c r="O41" s="11">
        <v>0.26408002</v>
      </c>
      <c r="P41" s="11">
        <v>0.053</v>
      </c>
      <c r="Q41" s="11">
        <v>0.3788563884206089</v>
      </c>
      <c r="R41" s="10">
        <v>63.06512965103187</v>
      </c>
      <c r="S41" s="8" t="s">
        <v>76</v>
      </c>
    </row>
    <row r="42" spans="1:19" x14ac:dyDescent="0.25">
      <c r="A42" s="10">
        <v>38</v>
      </c>
      <c r="B42" s="8" t="s">
        <v>144</v>
      </c>
      <c r="C42" s="8" t="s">
        <v>145</v>
      </c>
      <c r="D42" s="8" t="s">
        <v>116</v>
      </c>
      <c r="E42" s="9">
        <v>122.629997253418</v>
      </c>
      <c r="F42" s="16">
        <v>0.4007665285106333</v>
      </c>
      <c r="G42" s="19">
        <v>0.4661838785549283</v>
      </c>
      <c r="H42" s="19">
        <v>0.7817359120167516</v>
      </c>
      <c r="I42" s="19">
        <v>-0.195108303096569</v>
      </c>
      <c r="J42" s="19">
        <v>0.5570600077754716</v>
      </c>
      <c r="K42" s="19">
        <v>0</v>
      </c>
      <c r="L42" s="19">
        <v>-0.6020150150201037</v>
      </c>
      <c r="M42" s="19">
        <v>16.68579</v>
      </c>
      <c r="N42" s="19">
        <v>3.8455532</v>
      </c>
      <c r="O42" s="11">
        <v>0.25905</v>
      </c>
      <c r="P42" s="11">
        <v>0.151</v>
      </c>
      <c r="Q42" s="11">
        <v>0.03709360894772473</v>
      </c>
      <c r="R42" s="10">
        <v>56.29518689758392</v>
      </c>
      <c r="S42" s="8" t="s">
        <v>76</v>
      </c>
    </row>
    <row r="43" spans="1:19" x14ac:dyDescent="0.25">
      <c r="A43" s="10">
        <v>39</v>
      </c>
      <c r="B43" s="8" t="s">
        <v>146</v>
      </c>
      <c r="C43" s="8" t="s">
        <v>147</v>
      </c>
      <c r="D43" s="8" t="s">
        <v>97</v>
      </c>
      <c r="E43" s="9">
        <v>394.8800048828125</v>
      </c>
      <c r="F43" s="16">
        <v>0.3886547469345187</v>
      </c>
      <c r="G43" s="19">
        <v>0.4003134790598573</v>
      </c>
      <c r="H43" s="19">
        <v>-1.052694131897447</v>
      </c>
      <c r="I43" s="19">
        <v>0.1720968840375585</v>
      </c>
      <c r="J43" s="19">
        <v>1.302344418337416</v>
      </c>
      <c r="K43" s="19">
        <v>0</v>
      </c>
      <c r="L43" s="19">
        <v>0.2339430879910894</v>
      </c>
      <c r="M43" s="19">
        <v>37.178402</v>
      </c>
      <c r="N43" s="19">
        <v>2.4096098</v>
      </c>
      <c r="O43" s="11">
        <v>0.06893000000000001</v>
      </c>
      <c r="P43" s="11">
        <v>0.262</v>
      </c>
      <c r="Q43" s="11">
        <v>1.190890352688831</v>
      </c>
      <c r="R43" s="10">
        <v>57.46312192737679</v>
      </c>
      <c r="S43" s="8" t="s">
        <v>76</v>
      </c>
    </row>
    <row r="44" spans="1:19" x14ac:dyDescent="0.25">
      <c r="A44" s="10">
        <v>40</v>
      </c>
      <c r="B44" s="8" t="s">
        <v>148</v>
      </c>
      <c r="C44" s="8" t="s">
        <v>149</v>
      </c>
      <c r="D44" s="8" t="s">
        <v>87</v>
      </c>
      <c r="E44" s="9">
        <v>1002.559997558594</v>
      </c>
      <c r="F44" s="16">
        <v>0.3866847440111001</v>
      </c>
      <c r="G44" s="19">
        <v>0.3750508094617337</v>
      </c>
      <c r="H44" s="19">
        <v>0.8226956244081279</v>
      </c>
      <c r="I44" s="19">
        <v>0.9047441154933583</v>
      </c>
      <c r="J44" s="19">
        <v>0.006287488846586261</v>
      </c>
      <c r="K44" s="19">
        <v>0</v>
      </c>
      <c r="L44" s="19">
        <v>0.11009850256413</v>
      </c>
      <c r="M44" s="19">
        <v>16.078215</v>
      </c>
      <c r="N44" s="19">
        <v>2.8559394</v>
      </c>
      <c r="O44" s="11">
        <v>0.16902</v>
      </c>
      <c r="P44" s="11">
        <v>0.425</v>
      </c>
      <c r="Q44" s="11">
        <v>0.1731204225933523</v>
      </c>
      <c r="R44" s="10">
        <v>42.20008189154327</v>
      </c>
      <c r="S44" s="8" t="s">
        <v>76</v>
      </c>
    </row>
  </sheetData>
  <autoFilter ref="A4:S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L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150</v>
      </c>
    </row>
    <row r="2" spans="1:3" x14ac:dyDescent="0.25">
      <c r="A2" s="2" t="s">
        <v>151</v>
      </c>
    </row>
    <row r="4" spans="1:3" x14ac:dyDescent="0.25">
      <c r="A4" s="7" t="s">
        <v>152</v>
      </c>
    </row>
    <row r="5" spans="1:3" ht="30" customHeight="1" x14ac:dyDescent="0.25">
      <c r="A5" s="14" t="s">
        <v>153</v>
      </c>
      <c r="B5" s="14" t="s">
        <v>154</v>
      </c>
      <c r="C5" s="14" t="s">
        <v>155</v>
      </c>
    </row>
    <row r="6" spans="1:3" x14ac:dyDescent="0.25">
      <c r="A6" s="8" t="s">
        <v>156</v>
      </c>
      <c r="B6" s="11">
        <v>0.2</v>
      </c>
      <c r="C6" s="8" t="s">
        <v>157</v>
      </c>
    </row>
    <row r="7" spans="1:3" x14ac:dyDescent="0.25">
      <c r="A7" s="8" t="s">
        <v>158</v>
      </c>
      <c r="B7" s="11">
        <v>0.18</v>
      </c>
      <c r="C7" s="8" t="s">
        <v>159</v>
      </c>
    </row>
    <row r="8" spans="1:3" x14ac:dyDescent="0.25">
      <c r="A8" s="8" t="s">
        <v>160</v>
      </c>
      <c r="B8" s="11">
        <v>0.12</v>
      </c>
      <c r="C8" s="8" t="s">
        <v>161</v>
      </c>
    </row>
    <row r="9" spans="1:3" x14ac:dyDescent="0.25">
      <c r="A9" s="8" t="s">
        <v>162</v>
      </c>
      <c r="B9" s="11">
        <v>0.32</v>
      </c>
      <c r="C9" s="8" t="s">
        <v>163</v>
      </c>
    </row>
    <row r="10" spans="1:3" x14ac:dyDescent="0.25">
      <c r="A10" s="8" t="s">
        <v>164</v>
      </c>
      <c r="B10" s="11">
        <v>0.12</v>
      </c>
      <c r="C10" s="8" t="s">
        <v>165</v>
      </c>
    </row>
    <row r="11" spans="1:3" x14ac:dyDescent="0.25">
      <c r="A11" s="8" t="s">
        <v>166</v>
      </c>
      <c r="B11" s="11">
        <v>0.06</v>
      </c>
      <c r="C11" s="8" t="s">
        <v>167</v>
      </c>
    </row>
    <row r="12" spans="1:3" x14ac:dyDescent="0.25">
      <c r="A12" s="12" t="s">
        <v>168</v>
      </c>
      <c r="B12" s="11">
        <f>SUM(B6:B11)</f>
        <v>1.0</v>
      </c>
    </row>
    <row r="14" spans="1:3" x14ac:dyDescent="0.25">
      <c r="A14" s="7" t="s">
        <v>169</v>
      </c>
    </row>
    <row r="15" spans="1:3" x14ac:dyDescent="0.25">
      <c r="A15" s="13" t="s">
        <v>170</v>
      </c>
    </row>
    <row r="17" spans="1:7" x14ac:dyDescent="0.25">
      <c r="A17" s="7" t="s">
        <v>171</v>
      </c>
    </row>
    <row r="18" spans="1:7" x14ac:dyDescent="0.25">
      <c r="A18" s="13" t="s">
        <v>172</v>
      </c>
      <c r="B18" s="13"/>
      <c r="C18" s="13"/>
      <c r="D18" s="13"/>
      <c r="E18" s="13"/>
      <c r="F18" s="13"/>
      <c r="G18" s="13"/>
    </row>
    <row r="19" spans="1:7" x14ac:dyDescent="0.25">
      <c r="A19" s="13"/>
      <c r="B19" s="13"/>
      <c r="C19" s="13"/>
      <c r="D19" s="13"/>
      <c r="E19" s="13"/>
      <c r="F19" s="13"/>
      <c r="G19" s="13"/>
    </row>
    <row r="20" spans="1:7" x14ac:dyDescent="0.25">
      <c r="A20" s="13"/>
      <c r="B20" s="13"/>
      <c r="C20" s="13"/>
      <c r="D20" s="13"/>
      <c r="E20" s="13"/>
      <c r="F20" s="13"/>
      <c r="G20" s="13"/>
    </row>
  </sheetData>
  <mergeCells count="1">
    <mergeCell ref="A18:G20"/>
  </mergeCells>
  <conditionalFormatting sqref="B6:B11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198</v>
      </c>
    </row>
    <row r="3" spans="1:2">
      <c r="A3" s="7" t="s">
        <v>199</v>
      </c>
    </row>
    <row r="4" spans="1:2">
      <c r="A4" s="8" t="s">
        <v>200</v>
      </c>
      <c r="B4" s="8" t="s">
        <v>201</v>
      </c>
    </row>
    <row r="5" spans="1:2">
      <c r="A5" s="8" t="s">
        <v>202</v>
      </c>
      <c r="B5" s="8" t="s">
        <v>38</v>
      </c>
    </row>
    <row r="6" spans="1:2">
      <c r="A6" s="8" t="s">
        <v>203</v>
      </c>
      <c r="B6" s="8" t="s">
        <v>204</v>
      </c>
    </row>
    <row r="7" spans="1:2">
      <c r="A7" s="8" t="s">
        <v>205</v>
      </c>
      <c r="B7" s="8" t="s">
        <v>206</v>
      </c>
    </row>
    <row r="8" spans="1:2">
      <c r="A8" s="8" t="s">
        <v>207</v>
      </c>
      <c r="B8" s="8" t="s">
        <v>79</v>
      </c>
    </row>
    <row r="9" spans="1:2">
      <c r="A9" s="8" t="s">
        <v>208</v>
      </c>
      <c r="B9" s="8" t="s">
        <v>27</v>
      </c>
    </row>
    <row r="10" spans="1:2">
      <c r="A10" s="8" t="s">
        <v>209</v>
      </c>
      <c r="B10" s="8" t="s">
        <v>210</v>
      </c>
    </row>
    <row r="11" spans="1:2">
      <c r="A11" s="8" t="s">
        <v>211</v>
      </c>
      <c r="B11" s="8" t="s">
        <v>212</v>
      </c>
    </row>
    <row r="12" spans="1:2">
      <c r="A12" s="8" t="s">
        <v>213</v>
      </c>
      <c r="B12" s="8" t="s">
        <v>214</v>
      </c>
    </row>
    <row r="13" spans="1:2">
      <c r="A13" s="8" t="s">
        <v>215</v>
      </c>
      <c r="B13" s="8" t="s">
        <v>216</v>
      </c>
    </row>
    <row r="14" spans="1:2">
      <c r="A14" s="8" t="s">
        <v>217</v>
      </c>
      <c r="B14" s="8" t="s">
        <v>218</v>
      </c>
    </row>
    <row r="16" spans="1:2">
      <c r="A16" s="7" t="s">
        <v>219</v>
      </c>
    </row>
    <row r="17" spans="1:2" ht="30" customHeight="1">
      <c r="A17" s="12" t="s">
        <v>220</v>
      </c>
      <c r="B17" s="13" t="s">
        <v>221</v>
      </c>
    </row>
    <row r="18" spans="1:2" ht="30" customHeight="1">
      <c r="A18" s="12" t="s">
        <v>222</v>
      </c>
      <c r="B18" s="13" t="s">
        <v>223</v>
      </c>
    </row>
    <row r="19" spans="1:2" ht="30" customHeight="1">
      <c r="A19" s="12" t="s">
        <v>224</v>
      </c>
      <c r="B19" s="13" t="s">
        <v>225</v>
      </c>
    </row>
    <row r="20" spans="1:2" ht="30" customHeight="1">
      <c r="A20" s="12" t="s">
        <v>226</v>
      </c>
      <c r="B20" s="13" t="s">
        <v>227</v>
      </c>
    </row>
    <row r="22" spans="1:2">
      <c r="A22" s="7" t="s">
        <v>228</v>
      </c>
    </row>
    <row r="23" spans="1:2" ht="32" customHeight="1">
      <c r="A23" s="20" t="s">
        <v>229</v>
      </c>
      <c r="B23" s="20"/>
    </row>
    <row r="24" spans="1:2" ht="32" customHeight="1">
      <c r="A24" s="20" t="s">
        <v>230</v>
      </c>
      <c r="B24" s="20"/>
    </row>
    <row r="25" spans="1:2" ht="32" customHeight="1">
      <c r="A25" s="20" t="s">
        <v>231</v>
      </c>
      <c r="B25" s="20"/>
    </row>
    <row r="26" spans="1:2" ht="32" customHeight="1">
      <c r="A26" s="20" t="s">
        <v>232</v>
      </c>
      <c r="B26" s="20"/>
    </row>
    <row r="27" spans="1:2" ht="32" customHeight="1">
      <c r="A27" s="20" t="s">
        <v>233</v>
      </c>
      <c r="B27" s="20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6"/>
  <sheetViews>
    <sheetView workbookViewId="0"/>
  </sheetViews>
  <sheetFormatPr defaultRowHeight="15"/>
  <sheetData>
    <row r="1" spans="1:61">
      <c r="A1" t="s">
        <v>0</v>
      </c>
      <c r="B1">
        <v>400.1088256835938</v>
      </c>
      <c r="C1">
        <v>381.1501770019531</v>
      </c>
      <c r="D1">
        <v>369.2198791503906</v>
      </c>
      <c r="E1">
        <v>390.8042297363281</v>
      </c>
      <c r="F1">
        <v>394.9174194335938</v>
      </c>
      <c r="G1">
        <v>408.3951416015625</v>
      </c>
      <c r="H1">
        <v>403.4133605957031</v>
      </c>
      <c r="I1">
        <v>418.6282348632812</v>
      </c>
      <c r="J1">
        <v>408.8244323730469</v>
      </c>
      <c r="K1">
        <v>418.0192260742188</v>
      </c>
      <c r="L1">
        <v>427.0742797851562</v>
      </c>
      <c r="M1">
        <v>433.3439025878906</v>
      </c>
      <c r="N1">
        <v>408.7745361328125</v>
      </c>
      <c r="O1">
        <v>398.8309326171875</v>
      </c>
      <c r="P1">
        <v>413.9259948730469</v>
      </c>
      <c r="Q1">
        <v>430.7481994628906</v>
      </c>
      <c r="R1">
        <v>424.5484619140625</v>
      </c>
      <c r="S1">
        <v>393.6694946289062</v>
      </c>
      <c r="T1">
        <v>411.1206359863281</v>
      </c>
      <c r="U1">
        <v>416.5915832519531</v>
      </c>
      <c r="V1">
        <v>431.2573547363281</v>
      </c>
      <c r="W1">
        <v>449.4772644042969</v>
      </c>
      <c r="X1">
        <v>434.2524108886719</v>
      </c>
      <c r="Y1">
        <v>426.4053649902344</v>
      </c>
      <c r="Z1">
        <v>456.7851867675781</v>
      </c>
      <c r="AA1">
        <v>411.9991760253906</v>
      </c>
      <c r="AB1">
        <v>390.7343444824219</v>
      </c>
      <c r="AC1">
        <v>395.6861267089844</v>
      </c>
      <c r="AD1">
        <v>381.25</v>
      </c>
      <c r="AE1">
        <v>404.1499938964844</v>
      </c>
      <c r="AF1">
        <v>441.7999877929688</v>
      </c>
      <c r="AG1">
        <v>439.3399963378906</v>
      </c>
      <c r="AH1">
        <v>437.5</v>
      </c>
      <c r="AI1">
        <v>426.9100036621094</v>
      </c>
      <c r="AJ1">
        <v>392.1000061035156</v>
      </c>
      <c r="AK1">
        <v>369.6400146484375</v>
      </c>
      <c r="AL1">
        <v>404.8099975585938</v>
      </c>
      <c r="AM1">
        <v>405.3699951171875</v>
      </c>
      <c r="AN1">
        <v>429.0199890136719</v>
      </c>
      <c r="AO1">
        <v>467.2699890136719</v>
      </c>
      <c r="AP1">
        <v>462.7000122070312</v>
      </c>
      <c r="AQ1">
        <v>437.6499938964844</v>
      </c>
      <c r="AR1">
        <v>453.7699890136719</v>
      </c>
      <c r="AS1">
        <v>457.8800048828125</v>
      </c>
      <c r="AT1">
        <v>440.9700012207031</v>
      </c>
      <c r="AU1">
        <v>484.5</v>
      </c>
      <c r="AV1">
        <v>494.510009765625</v>
      </c>
      <c r="AW1">
        <v>490.8099975585938</v>
      </c>
      <c r="AX1">
        <v>479.8099975585938</v>
      </c>
      <c r="AY1">
        <v>468.6499938964844</v>
      </c>
      <c r="AZ1">
        <v>437.5499877929688</v>
      </c>
      <c r="BA1">
        <v>434.7799987792969</v>
      </c>
      <c r="BB1">
        <v>442.0799865722656</v>
      </c>
      <c r="BC1">
        <v>433.1900024414062</v>
      </c>
      <c r="BD1">
        <v>451.5</v>
      </c>
      <c r="BE1">
        <v>463.8200073242188</v>
      </c>
      <c r="BF1">
        <v>472.260009765625</v>
      </c>
      <c r="BG1">
        <v>456.239990234375</v>
      </c>
      <c r="BH1">
        <v>456.010009765625</v>
      </c>
      <c r="BI1">
        <v>425</v>
      </c>
    </row>
    <row r="2" spans="1:61">
      <c r="A2" t="s">
        <v>1</v>
      </c>
      <c r="B2">
        <v>949.134033203125</v>
      </c>
      <c r="C2">
        <v>935.74609375</v>
      </c>
      <c r="D2">
        <v>891.7428588867188</v>
      </c>
      <c r="E2">
        <v>995.7168579101562</v>
      </c>
      <c r="F2">
        <v>981.4590454101562</v>
      </c>
      <c r="G2">
        <v>1087.822631835938</v>
      </c>
      <c r="H2">
        <v>1020.60302734375</v>
      </c>
      <c r="I2">
        <v>1043.029541015625</v>
      </c>
      <c r="J2">
        <v>1133.815551757812</v>
      </c>
      <c r="K2">
        <v>1211.193725585938</v>
      </c>
      <c r="L2">
        <v>1051.608276367188</v>
      </c>
      <c r="M2">
        <v>1048.348754882812</v>
      </c>
      <c r="N2">
        <v>1213.373413085938</v>
      </c>
      <c r="O2">
        <v>1132.155883789062</v>
      </c>
      <c r="P2">
        <v>1145.103881835938</v>
      </c>
      <c r="Q2">
        <v>1154.112548828125</v>
      </c>
      <c r="R2">
        <v>1032.121337890625</v>
      </c>
      <c r="S2">
        <v>975.4099731445312</v>
      </c>
      <c r="T2">
        <v>984.75</v>
      </c>
      <c r="U2">
        <v>938.3800048828125</v>
      </c>
      <c r="V2">
        <v>948.7999877929688</v>
      </c>
      <c r="W2">
        <v>991.6400146484375</v>
      </c>
      <c r="X2">
        <v>979.2999877929688</v>
      </c>
      <c r="Y2">
        <v>937</v>
      </c>
      <c r="Z2">
        <v>983.1199951171875</v>
      </c>
      <c r="AA2">
        <v>904.280029296875</v>
      </c>
      <c r="AB2">
        <v>853.2000122070312</v>
      </c>
      <c r="AC2">
        <v>848.9500122070312</v>
      </c>
      <c r="AD2">
        <v>865.4600219726562</v>
      </c>
      <c r="AE2">
        <v>970.8200073242188</v>
      </c>
      <c r="AF2">
        <v>959.47998046875</v>
      </c>
      <c r="AG2">
        <v>990.2100219726562</v>
      </c>
      <c r="AH2">
        <v>920.9500122070312</v>
      </c>
      <c r="AI2">
        <v>900.2000122070312</v>
      </c>
      <c r="AJ2">
        <v>820.530029296875</v>
      </c>
      <c r="AK2">
        <v>739</v>
      </c>
      <c r="AL2">
        <v>874.6599731445312</v>
      </c>
      <c r="AM2">
        <v>823.030029296875</v>
      </c>
      <c r="AN2">
        <v>829.5</v>
      </c>
      <c r="AO2">
        <v>892.6699829101562</v>
      </c>
      <c r="AP2">
        <v>893.1900024414062</v>
      </c>
      <c r="AQ2">
        <v>881.469970703125</v>
      </c>
      <c r="AR2">
        <v>877.5700073242188</v>
      </c>
      <c r="AS2">
        <v>861</v>
      </c>
      <c r="AT2">
        <v>868.52001953125</v>
      </c>
      <c r="AU2">
        <v>911.2899780273438</v>
      </c>
      <c r="AV2">
        <v>949.8300170898438</v>
      </c>
      <c r="AW2">
        <v>971.6599731445312</v>
      </c>
      <c r="AX2">
        <v>1011.75</v>
      </c>
      <c r="AY2">
        <v>940.760009765625</v>
      </c>
      <c r="AZ2">
        <v>937.1099853515625</v>
      </c>
      <c r="BA2">
        <v>974.3300170898438</v>
      </c>
      <c r="BB2">
        <v>966.780029296875</v>
      </c>
      <c r="BC2">
        <v>910.4299926757812</v>
      </c>
      <c r="BD2">
        <v>932.969970703125</v>
      </c>
      <c r="BE2">
        <v>938.4000244140625</v>
      </c>
      <c r="BF2">
        <v>935.3900146484375</v>
      </c>
      <c r="BG2">
        <v>932.8599853515625</v>
      </c>
      <c r="BH2">
        <v>958.72998046875</v>
      </c>
      <c r="BI2">
        <v>933.4400024414062</v>
      </c>
    </row>
    <row r="3" spans="1:61">
      <c r="A3" t="s">
        <v>2</v>
      </c>
      <c r="B3">
        <v>1642</v>
      </c>
      <c r="C3">
        <v>1646.5400390625</v>
      </c>
      <c r="D3">
        <v>1643.22998046875</v>
      </c>
      <c r="E3">
        <v>1881.510009765625</v>
      </c>
      <c r="F3">
        <v>1980.099975585938</v>
      </c>
      <c r="G3">
        <v>2107.860107421875</v>
      </c>
      <c r="H3">
        <v>1991.550048828125</v>
      </c>
      <c r="I3">
        <v>1958.800048828125</v>
      </c>
      <c r="J3">
        <v>2184.75</v>
      </c>
      <c r="K3">
        <v>2273.72998046875</v>
      </c>
      <c r="L3">
        <v>1963.599975585938</v>
      </c>
      <c r="M3">
        <v>1914.4599609375</v>
      </c>
      <c r="N3">
        <v>2335</v>
      </c>
      <c r="O3">
        <v>2090.7099609375</v>
      </c>
      <c r="P3">
        <v>2050.389892578125</v>
      </c>
      <c r="Q3">
        <v>2273.72998046875</v>
      </c>
      <c r="R3">
        <v>2032.219970703125</v>
      </c>
      <c r="S3">
        <v>1745</v>
      </c>
      <c r="T3">
        <v>1744.430053710938</v>
      </c>
      <c r="U3">
        <v>1617.699951171875</v>
      </c>
      <c r="V3">
        <v>1727.180053710938</v>
      </c>
      <c r="W3">
        <v>1858.27001953125</v>
      </c>
      <c r="X3">
        <v>1915.920043945312</v>
      </c>
      <c r="Y3">
        <v>1673.969970703125</v>
      </c>
      <c r="Z3">
        <v>1757.819946289062</v>
      </c>
      <c r="AA3">
        <v>1615</v>
      </c>
      <c r="AB3">
        <v>1411.079956054688</v>
      </c>
      <c r="AC3">
        <v>1354.819946289062</v>
      </c>
      <c r="AD3">
        <v>1390.949951171875</v>
      </c>
      <c r="AE3">
        <v>1589.400024414062</v>
      </c>
      <c r="AF3">
        <v>1599.27001953125</v>
      </c>
      <c r="AG3">
        <v>1610.329956054688</v>
      </c>
      <c r="AH3">
        <v>1436.56005859375</v>
      </c>
      <c r="AI3">
        <v>1278.22998046875</v>
      </c>
      <c r="AJ3">
        <v>1096.099975585938</v>
      </c>
      <c r="AK3">
        <v>1015.890014648438</v>
      </c>
      <c r="AL3">
        <v>1279.9599609375</v>
      </c>
      <c r="AM3">
        <v>1214.829956054688</v>
      </c>
      <c r="AN3">
        <v>1288.030029296875</v>
      </c>
      <c r="AO3">
        <v>1427.619995117188</v>
      </c>
      <c r="AP3">
        <v>1350.5</v>
      </c>
      <c r="AQ3">
        <v>1258.579956054688</v>
      </c>
      <c r="AR3">
        <v>1212.2099609375</v>
      </c>
      <c r="AS3">
        <v>1237.920043945312</v>
      </c>
      <c r="AT3">
        <v>1271.050048828125</v>
      </c>
      <c r="AU3">
        <v>1344.2900390625</v>
      </c>
      <c r="AV3">
        <v>1528.109985351562</v>
      </c>
      <c r="AW3">
        <v>1641.109985351562</v>
      </c>
      <c r="AX3">
        <v>1786.849975585938</v>
      </c>
      <c r="AY3">
        <v>1625.780029296875</v>
      </c>
      <c r="AZ3">
        <v>1568.869995117188</v>
      </c>
      <c r="BA3">
        <v>1600.619995117188</v>
      </c>
      <c r="BB3">
        <v>1596.079956054688</v>
      </c>
      <c r="BC3">
        <v>1493.119995117188</v>
      </c>
      <c r="BD3">
        <v>1480.77001953125</v>
      </c>
      <c r="BE3">
        <v>1499.369995117188</v>
      </c>
      <c r="BF3">
        <v>1484.949951171875</v>
      </c>
      <c r="BG3">
        <v>1484.97998046875</v>
      </c>
      <c r="BH3">
        <v>1566.699951171875</v>
      </c>
      <c r="BI3">
        <v>1536.869995117188</v>
      </c>
    </row>
    <row r="4" spans="1:61">
      <c r="A4" t="s">
        <v>3</v>
      </c>
      <c r="B4">
        <v>526.9299926757812</v>
      </c>
      <c r="C4">
        <v>517.719970703125</v>
      </c>
      <c r="D4">
        <v>490.0899963378906</v>
      </c>
      <c r="E4">
        <v>529.2899780273438</v>
      </c>
      <c r="F4">
        <v>562.9299926757812</v>
      </c>
      <c r="G4">
        <v>653.530029296875</v>
      </c>
      <c r="H4">
        <v>681.0800170898438</v>
      </c>
      <c r="I4">
        <v>712.1300048828125</v>
      </c>
      <c r="J4">
        <v>746.22998046875</v>
      </c>
      <c r="K4">
        <v>732.6199951171875</v>
      </c>
      <c r="L4">
        <v>670.75</v>
      </c>
      <c r="M4">
        <v>643.8300170898438</v>
      </c>
      <c r="N4">
        <v>675.3900146484375</v>
      </c>
      <c r="O4">
        <v>586.4500122070312</v>
      </c>
      <c r="P4">
        <v>651.8800048828125</v>
      </c>
      <c r="Q4">
        <v>638.719970703125</v>
      </c>
      <c r="R4">
        <v>598.3699951171875</v>
      </c>
      <c r="S4">
        <v>539</v>
      </c>
      <c r="T4">
        <v>577.4600219726562</v>
      </c>
      <c r="U4">
        <v>532.0999755859375</v>
      </c>
      <c r="V4">
        <v>550.2999877929688</v>
      </c>
      <c r="W4">
        <v>578.0499877929688</v>
      </c>
      <c r="X4">
        <v>582.5900268554688</v>
      </c>
      <c r="Y4">
        <v>555.5499877929688</v>
      </c>
      <c r="Z4">
        <v>563.3200073242188</v>
      </c>
      <c r="AA4">
        <v>513.8400268554688</v>
      </c>
      <c r="AB4">
        <v>466.8099975585938</v>
      </c>
      <c r="AC4">
        <v>477.2200012207031</v>
      </c>
      <c r="AD4">
        <v>487.4200134277344</v>
      </c>
      <c r="AE4">
        <v>548.3900146484375</v>
      </c>
      <c r="AF4">
        <v>556.6699829101562</v>
      </c>
      <c r="AG4">
        <v>558.2999877929688</v>
      </c>
      <c r="AH4">
        <v>519.7999877929688</v>
      </c>
      <c r="AI4">
        <v>497.9200134277344</v>
      </c>
      <c r="AJ4">
        <v>463.510009765625</v>
      </c>
      <c r="AK4">
        <v>462.0400085449219</v>
      </c>
      <c r="AL4">
        <v>533.0399780273438</v>
      </c>
      <c r="AM4">
        <v>544.8400268554688</v>
      </c>
      <c r="AN4">
        <v>527.219970703125</v>
      </c>
      <c r="AO4">
        <v>548.5599975585938</v>
      </c>
      <c r="AP4">
        <v>519.1699829101562</v>
      </c>
      <c r="AQ4">
        <v>451.5199890136719</v>
      </c>
      <c r="AR4">
        <v>434.2999877929688</v>
      </c>
      <c r="AS4">
        <v>438.3399963378906</v>
      </c>
      <c r="AT4">
        <v>437.9299926757812</v>
      </c>
      <c r="AU4">
        <v>454.1000061035156</v>
      </c>
      <c r="AV4">
        <v>487.2900085449219</v>
      </c>
      <c r="AW4">
        <v>508.7999877929688</v>
      </c>
      <c r="AX4">
        <v>536.010009765625</v>
      </c>
      <c r="AY4">
        <v>496.1600036621094</v>
      </c>
      <c r="AZ4">
        <v>462.0899963378906</v>
      </c>
      <c r="BA4">
        <v>469.0499877929688</v>
      </c>
      <c r="BB4">
        <v>459.4400024414062</v>
      </c>
      <c r="BC4">
        <v>435.3800048828125</v>
      </c>
      <c r="BD4">
        <v>450.75</v>
      </c>
      <c r="BE4">
        <v>468.8800048828125</v>
      </c>
      <c r="BF4">
        <v>462</v>
      </c>
      <c r="BG4">
        <v>459.4500122070312</v>
      </c>
      <c r="BH4">
        <v>450.5499877929688</v>
      </c>
      <c r="BI4">
        <v>450.4400024414062</v>
      </c>
    </row>
    <row r="5" spans="1:61">
      <c r="A5" t="s">
        <v>4</v>
      </c>
      <c r="B5">
        <v>257.3952941894531</v>
      </c>
      <c r="C5">
        <v>252.8030090332031</v>
      </c>
      <c r="D5">
        <v>256.9967956542969</v>
      </c>
      <c r="E5">
        <v>254.6160125732422</v>
      </c>
      <c r="F5">
        <v>257.6741943359375</v>
      </c>
      <c r="G5">
        <v>246.20849609375</v>
      </c>
      <c r="H5">
        <v>243.1901702880859</v>
      </c>
      <c r="I5">
        <v>238.8469543457031</v>
      </c>
      <c r="J5">
        <v>235.3903045654297</v>
      </c>
      <c r="K5">
        <v>242.8415069580078</v>
      </c>
      <c r="L5">
        <v>242.7418823242188</v>
      </c>
      <c r="M5">
        <v>241.4967041015625</v>
      </c>
      <c r="N5">
        <v>254.0780792236328</v>
      </c>
      <c r="O5">
        <v>258.3714904785156</v>
      </c>
      <c r="P5">
        <v>265.2947387695312</v>
      </c>
      <c r="Q5">
        <v>259.4373779296875</v>
      </c>
      <c r="R5">
        <v>268.4027404785156</v>
      </c>
      <c r="S5">
        <v>266.7291870117188</v>
      </c>
      <c r="T5">
        <v>269.2793579101562</v>
      </c>
      <c r="U5">
        <v>265.1951293945312</v>
      </c>
      <c r="V5">
        <v>281.7909851074219</v>
      </c>
      <c r="W5">
        <v>280.1672668457031</v>
      </c>
      <c r="X5">
        <v>279.6094055175781</v>
      </c>
      <c r="Y5">
        <v>294.6513061523438</v>
      </c>
      <c r="Z5">
        <v>300.2695617675781</v>
      </c>
      <c r="AA5">
        <v>291.5333251953125</v>
      </c>
      <c r="AB5">
        <v>299.1040954589844</v>
      </c>
      <c r="AC5">
        <v>308.4579162597656</v>
      </c>
      <c r="AD5">
        <v>312.1038208007812</v>
      </c>
      <c r="AE5">
        <v>313.5880737304688</v>
      </c>
      <c r="AF5">
        <v>309.7230529785156</v>
      </c>
      <c r="AG5">
        <v>304.0848388671875</v>
      </c>
      <c r="AH5">
        <v>301.33544921875</v>
      </c>
      <c r="AI5">
        <v>303.756103515625</v>
      </c>
      <c r="AJ5">
        <v>297.7294006347656</v>
      </c>
      <c r="AK5">
        <v>300.1600036621094</v>
      </c>
      <c r="AL5">
        <v>310.5099792480469</v>
      </c>
      <c r="AM5">
        <v>312.8999938964844</v>
      </c>
      <c r="AN5">
        <v>307.5400085449219</v>
      </c>
      <c r="AO5">
        <v>308.7300109863281</v>
      </c>
      <c r="AP5">
        <v>302.3900146484375</v>
      </c>
      <c r="AQ5">
        <v>302.989990234375</v>
      </c>
      <c r="AR5">
        <v>298.3099975585938</v>
      </c>
      <c r="AS5">
        <v>314.9500122070312</v>
      </c>
      <c r="AT5">
        <v>323.9200134277344</v>
      </c>
      <c r="AU5">
        <v>330.2099914550781</v>
      </c>
      <c r="AV5">
        <v>342.9200134277344</v>
      </c>
      <c r="AW5">
        <v>341.6700134277344</v>
      </c>
      <c r="AX5">
        <v>347.1900024414062</v>
      </c>
      <c r="AY5">
        <v>350.0499877929688</v>
      </c>
      <c r="AZ5">
        <v>346.260009765625</v>
      </c>
      <c r="BA5">
        <v>341.510009765625</v>
      </c>
      <c r="BB5">
        <v>348.8599853515625</v>
      </c>
      <c r="BC5">
        <v>346</v>
      </c>
      <c r="BD5">
        <v>340.4100036621094</v>
      </c>
      <c r="BE5">
        <v>348.0299987792969</v>
      </c>
      <c r="BF5">
        <v>346.5899963378906</v>
      </c>
      <c r="BG5">
        <v>352.3599853515625</v>
      </c>
      <c r="BH5">
        <v>358.9200134277344</v>
      </c>
      <c r="BI5">
        <v>361.989990234375</v>
      </c>
    </row>
    <row r="6" spans="1:61">
      <c r="A6" t="s">
        <v>5</v>
      </c>
      <c r="B6">
        <v>265.4432067871094</v>
      </c>
      <c r="C6">
        <v>257.445068359375</v>
      </c>
      <c r="D6">
        <v>262.5610656738281</v>
      </c>
      <c r="E6">
        <v>260.0978088378906</v>
      </c>
      <c r="F6">
        <v>262.8602294921875</v>
      </c>
      <c r="G6">
        <v>250.1749877929688</v>
      </c>
      <c r="H6">
        <v>249.7860565185547</v>
      </c>
      <c r="I6">
        <v>243.9420471191406</v>
      </c>
      <c r="J6">
        <v>242.2467041015625</v>
      </c>
      <c r="K6">
        <v>246.6147308349609</v>
      </c>
      <c r="L6">
        <v>247.8413848876953</v>
      </c>
      <c r="M6">
        <v>245.8368530273438</v>
      </c>
      <c r="N6">
        <v>252.8676147460938</v>
      </c>
      <c r="O6">
        <v>253.3662414550781</v>
      </c>
      <c r="P6">
        <v>258.5121459960938</v>
      </c>
      <c r="Q6">
        <v>254.9718475341797</v>
      </c>
      <c r="R6">
        <v>264.146728515625</v>
      </c>
      <c r="S6">
        <v>265.6226806640625</v>
      </c>
      <c r="T6">
        <v>268.2554626464844</v>
      </c>
      <c r="U6">
        <v>265.6027221679688</v>
      </c>
      <c r="V6">
        <v>279.9135437011719</v>
      </c>
      <c r="W6">
        <v>282.5263977050781</v>
      </c>
      <c r="X6">
        <v>282.9651794433594</v>
      </c>
      <c r="Y6">
        <v>296.0693359375</v>
      </c>
      <c r="Z6">
        <v>302.5715026855469</v>
      </c>
      <c r="AA6">
        <v>298.363037109375</v>
      </c>
      <c r="AB6">
        <v>305.0148315429688</v>
      </c>
      <c r="AC6">
        <v>311.7463989257812</v>
      </c>
      <c r="AD6">
        <v>314.4490051269531</v>
      </c>
      <c r="AE6">
        <v>318.8868408203125</v>
      </c>
      <c r="AF6">
        <v>314.9576110839844</v>
      </c>
      <c r="AG6">
        <v>311.4172973632812</v>
      </c>
      <c r="AH6">
        <v>308.3955688476562</v>
      </c>
      <c r="AI6">
        <v>311.4970703125</v>
      </c>
      <c r="AJ6">
        <v>305.2142639160156</v>
      </c>
      <c r="AK6">
        <v>307.8769836425781</v>
      </c>
      <c r="AL6">
        <v>313.2223510742188</v>
      </c>
      <c r="AM6">
        <v>315.6058349609375</v>
      </c>
      <c r="AN6">
        <v>306.1915893554688</v>
      </c>
      <c r="AO6">
        <v>311.75634765625</v>
      </c>
      <c r="AP6">
        <v>296.9369506835938</v>
      </c>
      <c r="AQ6">
        <v>298.432861328125</v>
      </c>
      <c r="AR6">
        <v>297.3857421875</v>
      </c>
      <c r="AS6">
        <v>319.4453125</v>
      </c>
      <c r="AT6">
        <v>335.5013732910156</v>
      </c>
      <c r="AU6">
        <v>347.2990417480469</v>
      </c>
      <c r="AV6">
        <v>355.3968811035156</v>
      </c>
      <c r="AW6">
        <v>354.4494934082031</v>
      </c>
      <c r="AX6">
        <v>357.2019348144531</v>
      </c>
      <c r="AY6">
        <v>365.2099914550781</v>
      </c>
      <c r="AZ6">
        <v>360.75</v>
      </c>
      <c r="BA6">
        <v>358.2300109863281</v>
      </c>
      <c r="BB6">
        <v>360.7200012207031</v>
      </c>
      <c r="BC6">
        <v>362.5199890136719</v>
      </c>
      <c r="BD6">
        <v>354.8800048828125</v>
      </c>
      <c r="BE6">
        <v>362.2699890136719</v>
      </c>
      <c r="BF6">
        <v>363.5400085449219</v>
      </c>
      <c r="BG6">
        <v>368.8299865722656</v>
      </c>
      <c r="BH6">
        <v>373.3200073242188</v>
      </c>
      <c r="BI6">
        <v>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2026-09-02T08:31:37Z</dcterms:created>
  <dcterms:modified xsi:type="dcterms:W3CDTF">2026-09-02T08:31:37Z</dcterms:modified>
</cp:coreProperties>
</file>